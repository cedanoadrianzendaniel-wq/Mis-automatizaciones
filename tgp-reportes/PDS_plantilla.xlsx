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9f7665e3a9f2033/Documentos/"/>
    </mc:Choice>
  </mc:AlternateContent>
  <xr:revisionPtr revIDLastSave="0" documentId="8_{D2E59D90-2BB0-484F-B4F2-D8E27DAAC5F7}" xr6:coauthVersionLast="47" xr6:coauthVersionMax="47" xr10:uidLastSave="{00000000-0000-0000-0000-000000000000}"/>
  <bookViews>
    <workbookView xWindow="-110" yWindow="-110" windowWidth="19420" windowHeight="11500" tabRatio="850" firstSheet="2" activeTab="2" xr2:uid="{00000000-000D-0000-FFFF-FFFF00000000}"/>
  </bookViews>
  <sheets>
    <sheet name="8.Feb" sheetId="1911" state="hidden" r:id="rId1"/>
    <sheet name="9.Feb" sheetId="1912" state="hidden" r:id="rId2"/>
    <sheet name="01 Marzo" sheetId="2267" r:id="rId3"/>
    <sheet name="Data" sheetId="2" r:id="rId4"/>
  </sheets>
  <externalReferences>
    <externalReference r:id="rId5"/>
  </externalReferences>
  <definedNames>
    <definedName name="_xlnm.Print_Area" localSheetId="2">'01 Marzo'!$B$2:$L$20</definedName>
    <definedName name="_xlnm.Print_Area" localSheetId="0">'8.Feb'!$B$2:$L$20</definedName>
    <definedName name="_xlnm.Print_Area" localSheetId="1">'9.Feb'!$B$2:$L$20</definedName>
    <definedName name="equipos" localSheetId="2">OFFSET([1]Data!$F$4,0,0,COUNTA([1]Data!$F$4:$F$52),1)</definedName>
    <definedName name="equipos" localSheetId="0">OFFSET([1]Data!$F$4,0,0,COUNTA([1]Data!$F$4:$F$52),1)</definedName>
    <definedName name="equipos" localSheetId="1">OFFSET([1]Data!$F$4,0,0,COUNTA([1]Data!$F$4:$F$52),1)</definedName>
    <definedName name="equipos">OFFSET(Data!$F$4,0,0,COUNTA(Data!$F$4:$F$53),1)</definedName>
    <definedName name="nombres" localSheetId="2">OFFSET([1]Data!$B$4,0,0,COUNTA([1]Data!$B$4:$B$52),1)</definedName>
    <definedName name="nombres" localSheetId="0">OFFSET([1]Data!$B$4,0,0,COUNTA([1]Data!$B$4:$B$52),1)</definedName>
    <definedName name="nombres" localSheetId="1">OFFSET([1]Data!$B$4,0,0,COUNTA([1]Data!$B$4:$B$52),1)</definedName>
    <definedName name="nombres">OFFSET(Data!$B$4,0,0,COUNTA(Data!$B$4:$B$53),1)</definedName>
    <definedName name="obra_actividad" localSheetId="2">OFFSET([1]Data!$M$4,0,0,COUNTA([1]Data!$M$4:$M$152),1)</definedName>
    <definedName name="obra_actividad" localSheetId="0">OFFSET([1]Data!$M$4,0,0,COUNTA([1]Data!$M$4:$M$152),1)</definedName>
    <definedName name="obra_actividad" localSheetId="1">OFFSET([1]Data!$M$4,0,0,COUNTA([1]Data!$M$4:$M$152),1)</definedName>
    <definedName name="obra_actividad">OFFSET(Data!$M$4,0,0,COUNTA(Data!$M$4:$M$153),1)</definedName>
    <definedName name="origen_destino" localSheetId="2">OFFSET([1]Data!$J$4,0,0,COUNTA([1]Data!$J$4:$J$52),1)</definedName>
    <definedName name="origen_destino" localSheetId="0">OFFSET([1]Data!$J$4,0,0,COUNTA([1]Data!$J$4:$J$52),1)</definedName>
    <definedName name="origen_destino" localSheetId="1">OFFSET([1]Data!$J$4,0,0,COUNTA([1]Data!$J$4:$J$52),1)</definedName>
    <definedName name="origen_destino">OFFSET(Data!$J$4,0,0,COUNTA(Data!$J$4:$J$53),1)</definedName>
    <definedName name="servicio_fin" localSheetId="2">OFFSET([1]Data!$G$4,0,0,COUNTA([1]Data!$G$4:$G$52),1)</definedName>
    <definedName name="servicio_fin" localSheetId="0">OFFSET([1]Data!$G$4,0,0,COUNTA([1]Data!$G$4:$G$52),1)</definedName>
    <definedName name="servicio_fin" localSheetId="1">OFFSET([1]Data!$G$4,0,0,COUNTA([1]Data!$G$4:$G$52),1)</definedName>
    <definedName name="servicio_fin">OFFSET(Data!$G$4,0,0,COUNTA(Data!$G$4:$G$53),1)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1912" l="1"/>
  <c r="O11" i="1912"/>
  <c r="P11" i="1912" s="1"/>
  <c r="N11" i="1912"/>
  <c r="L8" i="1912"/>
  <c r="K8" i="1912"/>
  <c r="H8" i="1912"/>
  <c r="N13" i="1911"/>
  <c r="O11" i="1911"/>
  <c r="P11" i="1911" s="1"/>
  <c r="N11" i="1911"/>
  <c r="L8" i="1911"/>
  <c r="K8" i="1911"/>
  <c r="H8" i="1911"/>
  <c r="A37" i="2" l="1"/>
  <c r="A38" i="2" s="1"/>
  <c r="A39" i="2" s="1"/>
  <c r="A40" i="2" s="1"/>
  <c r="A41" i="2" s="1"/>
  <c r="A7" i="2" l="1"/>
  <c r="A8" i="2" s="1"/>
  <c r="A9" i="2" s="1"/>
  <c r="A10" i="2" s="1"/>
  <c r="E5" i="2" l="1"/>
  <c r="L5" i="2" l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I5" i="2" l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A5" i="2"/>
  <c r="A6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</calcChain>
</file>

<file path=xl/sharedStrings.xml><?xml version="1.0" encoding="utf-8"?>
<sst xmlns="http://schemas.openxmlformats.org/spreadsheetml/2006/main" count="314" uniqueCount="181">
  <si>
    <t>NOMBRE</t>
  </si>
  <si>
    <t>DESTINO</t>
  </si>
  <si>
    <t>COMENTARIOS</t>
  </si>
  <si>
    <t>n</t>
  </si>
  <si>
    <t>ORIGEN</t>
  </si>
  <si>
    <t>SERVICIO</t>
  </si>
  <si>
    <t>EQUIPOS</t>
  </si>
  <si>
    <t>Firma:</t>
  </si>
  <si>
    <t>Fecha:</t>
  </si>
  <si>
    <t>Zona:</t>
  </si>
  <si>
    <t>Nombre:</t>
  </si>
  <si>
    <t>DATOS GENERALES</t>
  </si>
  <si>
    <t>Empresa colaboradora:</t>
  </si>
  <si>
    <t>PERSONAL</t>
  </si>
  <si>
    <t>EQUIPO</t>
  </si>
  <si>
    <t>OBRA / ACTIVIDAD</t>
  </si>
  <si>
    <t>N</t>
  </si>
  <si>
    <t>ORDEN</t>
  </si>
  <si>
    <t>CUENTA</t>
  </si>
  <si>
    <t>PARTE DIARIO DE SERVICIOS</t>
  </si>
  <si>
    <t>REPRESENTANTE BUREAU VERITAS</t>
  </si>
  <si>
    <t>ACTIVIDAD</t>
  </si>
  <si>
    <t>KM INICIO</t>
  </si>
  <si>
    <t>KM FIN</t>
  </si>
  <si>
    <t>APELLIDOS Y NOMBRES</t>
  </si>
  <si>
    <t>SERVICIO (EQUIPOS)</t>
  </si>
  <si>
    <t>SERVICIO (PERSONAL)</t>
  </si>
  <si>
    <t>ORIGEN/DESTINO</t>
  </si>
  <si>
    <t>RECORRIDO</t>
  </si>
  <si>
    <t>A CERTIFICAR</t>
  </si>
  <si>
    <t>REPRESENTANTE DE TGP</t>
  </si>
  <si>
    <t>BUREAU VERITAS DEL PERÚ</t>
  </si>
  <si>
    <t>Nombre: Roselma Velásquez Florián</t>
  </si>
  <si>
    <t>CONDUCTOR</t>
  </si>
  <si>
    <t>PISCO</t>
  </si>
  <si>
    <t>PRS2</t>
  </si>
  <si>
    <t>BOSC</t>
  </si>
  <si>
    <t>SOPORTE A INGENIERIA</t>
  </si>
  <si>
    <t>SOPORTE CONTROL DE COSTOS</t>
  </si>
  <si>
    <t>TG3CDV1</t>
  </si>
  <si>
    <t>ALQUILER TELEFONO SATELITAL</t>
  </si>
  <si>
    <t>CAÑETE</t>
  </si>
  <si>
    <t>CHINCHA</t>
  </si>
  <si>
    <t>MALA</t>
  </si>
  <si>
    <t>SUPERVISOR DE GEOTECNIA SEMI SENIOR</t>
  </si>
  <si>
    <t>GINES BENAVIDES, JORGE EDUARDO</t>
  </si>
  <si>
    <t>LAZO QUISPE, LUIS</t>
  </si>
  <si>
    <t>GALLO ALVAREZ, JORDAN ERWIN</t>
  </si>
  <si>
    <t>SUPERVISOR DE GEOTECNIA SENIOR</t>
  </si>
  <si>
    <t>HERRADA BARRETO, YONTAN ROY</t>
  </si>
  <si>
    <t>BENDEZÚ RODRIGUEZ, FRANK</t>
  </si>
  <si>
    <t>COST CONTROL SEMI SENIOR</t>
  </si>
  <si>
    <t>ZANABRIA VILLALBA, FREDY</t>
  </si>
  <si>
    <t>GUERRERO MALCA, MARIANELLA</t>
  </si>
  <si>
    <t>GARCIA ROBLES, OSCAR</t>
  </si>
  <si>
    <t>CABRERA MANRIQUE, MARTIN</t>
  </si>
  <si>
    <t>CUETO FLORES, CIRILO</t>
  </si>
  <si>
    <t>ZANABRIA VILLALBA, DIEGO</t>
  </si>
  <si>
    <t>BAQUERIZO CONDORI, CHISTIAN</t>
  </si>
  <si>
    <t>TRIGOSO PINTO, CESAR FRANCISCO</t>
  </si>
  <si>
    <t>COSTA</t>
  </si>
  <si>
    <t>MARQUEZ CAPANNI, JOSÉ MANUEL</t>
  </si>
  <si>
    <t>RAMIREZ SALDAÑA, CRISTIAN</t>
  </si>
  <si>
    <t>HUMAY</t>
  </si>
  <si>
    <t>DE LA CRUZ JASCINTO, CARLOS AUGUSTO</t>
  </si>
  <si>
    <t>ALVARADO ESPINOZA, ALEXANDER</t>
  </si>
  <si>
    <t>CHINCHAY CHOMBA, HUGO</t>
  </si>
  <si>
    <t>SANCHEZ QUIHUI, JOSE ABEL</t>
  </si>
  <si>
    <t>NAPA TASAYCO, DAVID</t>
  </si>
  <si>
    <t>LIMA</t>
  </si>
  <si>
    <t>ARANGOITIA RENDÓN, NIKOLAY</t>
  </si>
  <si>
    <t>SUPERVISOR GEOTECNISTA SENIOR</t>
  </si>
  <si>
    <t>COLQUE QUISPE, LUIS MIGUEL</t>
  </si>
  <si>
    <t>SUPERVISOR GEOTECNISTA SEMI SENIOR</t>
  </si>
  <si>
    <t xml:space="preserve"> A111004</t>
  </si>
  <si>
    <t xml:space="preserve"> TGGT-2509</t>
  </si>
  <si>
    <t>A111004</t>
  </si>
  <si>
    <t>TGGT-2509</t>
  </si>
  <si>
    <t>'  01 Cost Control
- Frank Bendezú Cost control, realiza:
1.- Se actualizó el estatus de los entregables (pdp y rd´s) del mes de enero y febrero
2.- Se actualizó el one drive de tgp
3.- Se revisó el cronograma de topografia del mes de febrero</t>
  </si>
  <si>
    <t>AMARU HUAMANI, JHONY</t>
  </si>
  <si>
    <t>TAI KP 509 - QDA AUQUIX</t>
  </si>
  <si>
    <t>TGEO-2513</t>
  </si>
  <si>
    <t>TAI MV PRS2</t>
  </si>
  <si>
    <t>SATELITAL - IMEI 353032044599898 / 870776413854</t>
  </si>
  <si>
    <t>CAMIONETA BUJ-832</t>
  </si>
  <si>
    <t>TAI KP 726+140</t>
  </si>
  <si>
    <t>LURIN</t>
  </si>
  <si>
    <t>MALANCHE</t>
  </si>
  <si>
    <t>3ER CRUCE</t>
  </si>
  <si>
    <t>VIGILANCIA</t>
  </si>
  <si>
    <t>HUANCANO</t>
  </si>
  <si>
    <t>KP 455+000</t>
  </si>
  <si>
    <t>KP 456+000</t>
  </si>
  <si>
    <t>KP 459+000</t>
  </si>
  <si>
    <t>HUAYTARÁ</t>
  </si>
  <si>
    <t>KP 461+500</t>
  </si>
  <si>
    <t>KP 550+000</t>
  </si>
  <si>
    <t>VELASQUEZ FLORIAN, ROSELMA</t>
  </si>
  <si>
    <t>TERMINAL</t>
  </si>
  <si>
    <t>KP 541+000</t>
  </si>
  <si>
    <t>KP 542+160</t>
  </si>
  <si>
    <t>KP 543+000</t>
  </si>
  <si>
    <t>KP 544+000</t>
  </si>
  <si>
    <t>KP 545+000</t>
  </si>
  <si>
    <t>Nombre: Yuri Arangoitia. R</t>
  </si>
  <si>
    <t>Kp540 a Kp558</t>
  </si>
  <si>
    <t>Kp673 a Kp720</t>
  </si>
  <si>
    <t>Kp702 a Kp726</t>
  </si>
  <si>
    <t>Kp487 a Kp545</t>
  </si>
  <si>
    <t>Kp520 a Kp521</t>
  </si>
  <si>
    <t xml:space="preserve"> Kp523 a Kp526</t>
  </si>
  <si>
    <t>Kp525 - Kp534</t>
  </si>
  <si>
    <t>KP701 a Kp714</t>
  </si>
  <si>
    <t>CAMIONETA BUO-858</t>
  </si>
  <si>
    <t>ALQUILER DE CAMIONETA SIN CONDUCTOR</t>
  </si>
  <si>
    <t>MG KP701+616 -KP 714+155</t>
  </si>
  <si>
    <t>HUAMANGA</t>
  </si>
  <si>
    <t>TGEO-2548</t>
  </si>
  <si>
    <t>MG - Kp 683+035 - Kp699+555</t>
  </si>
  <si>
    <t>TGEO-2547</t>
  </si>
  <si>
    <t xml:space="preserve">Kp 683+035 </t>
  </si>
  <si>
    <t>KP 488</t>
  </si>
  <si>
    <t>Acceso PRS2</t>
  </si>
  <si>
    <t>Huamanga</t>
  </si>
  <si>
    <t>CAMIONETA BUK-723</t>
  </si>
  <si>
    <t>MG - Kp 670 - Kp683</t>
  </si>
  <si>
    <t>KP490</t>
  </si>
  <si>
    <t>KP488</t>
  </si>
  <si>
    <t>.</t>
  </si>
  <si>
    <t>TGEO-2554</t>
  </si>
  <si>
    <t>OG_KP 726</t>
  </si>
  <si>
    <t>CAMIONETA  ATF-929</t>
  </si>
  <si>
    <t>MG-KP 519 - 554</t>
  </si>
  <si>
    <t>OG_KP 572</t>
  </si>
  <si>
    <t>SUPERVISOR DE GEOTECNIA  SENIOR</t>
  </si>
  <si>
    <t>CAMIONETA  BVJ-872</t>
  </si>
  <si>
    <t>Kp488 - Kp491</t>
  </si>
  <si>
    <t>Kp 676+913</t>
  </si>
  <si>
    <t>Kp475 a Kp482</t>
  </si>
  <si>
    <t xml:space="preserve">Kp475 a Kp471 </t>
  </si>
  <si>
    <t>KP 726+140</t>
  </si>
  <si>
    <t>Kp523 - Kp489</t>
  </si>
  <si>
    <t>KP_572+481</t>
  </si>
  <si>
    <t>Kp489</t>
  </si>
  <si>
    <t>Kp572</t>
  </si>
  <si>
    <t>Kp559+730</t>
  </si>
  <si>
    <t>TGGT-2512</t>
  </si>
  <si>
    <t>TGGT-2517</t>
  </si>
  <si>
    <t xml:space="preserve">Kp554 </t>
  </si>
  <si>
    <t>TGEO-2546</t>
  </si>
  <si>
    <t>MG Kp554 a Kp581</t>
  </si>
  <si>
    <t>TGGT-2552</t>
  </si>
  <si>
    <t>CAMIONETA AZJ- 736</t>
  </si>
  <si>
    <t>MG KP 610+118 al KP 621+616</t>
  </si>
  <si>
    <t>TGGT-2553</t>
  </si>
  <si>
    <t>CAMIONETA BVD-878</t>
  </si>
  <si>
    <t xml:space="preserve"> KP610_621</t>
  </si>
  <si>
    <t>MANTENIMIENTO VIAL - ACCESO PRS2</t>
  </si>
  <si>
    <t>TG1CDV1</t>
  </si>
  <si>
    <t>CAMIONETA  ATF-932</t>
  </si>
  <si>
    <t>Kp622 - Kp612+400</t>
  </si>
  <si>
    <t>CAMIONETA BVD-807</t>
  </si>
  <si>
    <t>Kp487 - Kp504</t>
  </si>
  <si>
    <t>CAMIONETA CCQ- 709</t>
  </si>
  <si>
    <t xml:space="preserve"> MG Kp 480+000-  Kp 493+620</t>
  </si>
  <si>
    <t>TGEO-2550</t>
  </si>
  <si>
    <t>CAMIONETA BVD - 807</t>
  </si>
  <si>
    <t>Acceso Rio Cañete</t>
  </si>
  <si>
    <t>MANTENIMIENTO VIAL - ACCESO RIO CAÑETE</t>
  </si>
  <si>
    <t>CAMIONETA W7D - 707</t>
  </si>
  <si>
    <t>MG Kp714 aKp730.</t>
  </si>
  <si>
    <t>CAMIOENTA BUJ - 832</t>
  </si>
  <si>
    <t>SAN CLEMENTE</t>
  </si>
  <si>
    <t>KP 556+500</t>
  </si>
  <si>
    <t xml:space="preserve">KP 612+400 </t>
  </si>
  <si>
    <t xml:space="preserve">KP 726+140 </t>
  </si>
  <si>
    <t xml:space="preserve">KP 547+400 </t>
  </si>
  <si>
    <t>KP 497+500</t>
  </si>
  <si>
    <t>KP 521+453</t>
  </si>
  <si>
    <t>CAMIOENTA BVD - 793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</si>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</sst>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80A]dddd\,\ dd&quot; de &quot;mmmm&quot; de &quot;yyyy;@"/>
    <numFmt numFmtId="165" formatCode="0.0"/>
    <numFmt numFmtId="166" formatCode="ddd\ dd\-mmm\-yy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9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5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0" fontId="0" fillId="5" borderId="11" xfId="0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6" fillId="6" borderId="2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5" borderId="0" xfId="0" applyFill="1" applyAlignment="1">
      <alignment vertical="center"/>
    </xf>
    <xf numFmtId="165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0" xfId="0" applyFont="1"/>
    <xf numFmtId="0" fontId="0" fillId="0" borderId="1" xfId="0" applyBorder="1"/>
    <xf numFmtId="0" fontId="0" fillId="0" borderId="0" xfId="0"/>
    <xf numFmtId="0" fontId="6" fillId="6" borderId="29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0" borderId="18" xfId="0" quotePrefix="1" applyBorder="1" applyAlignment="1">
      <alignment horizontal="left" vertical="center" wrapText="1"/>
    </xf>
    <xf numFmtId="0" fontId="0" fillId="0" borderId="19" xfId="0" quotePrefix="1" applyBorder="1" applyAlignment="1">
      <alignment horizontal="left" vertical="center" wrapText="1"/>
    </xf>
    <xf numFmtId="0" fontId="0" fillId="0" borderId="21" xfId="0" quotePrefix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14" fontId="3" fillId="0" borderId="24" xfId="0" applyNumberFormat="1" applyFont="1" applyBorder="1" applyAlignment="1">
      <alignment horizontal="left" vertical="center"/>
    </xf>
    <xf numFmtId="14" fontId="3" fillId="0" borderId="2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9FE5BA4B-173F-4559-A009-AA2C69B4C077}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1</xdr:row>
      <xdr:rowOff>10584</xdr:rowOff>
    </xdr:from>
    <xdr:to>
      <xdr:col>14</xdr:col>
      <xdr:colOff>254001</xdr:colOff>
      <xdr:row>1</xdr:row>
      <xdr:rowOff>836084</xdr:rowOff>
    </xdr:to>
    <xdr:sp macro="[0]!CrearPDF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86AD6C8-8ED2-4715-BE48-E4B635A9BF55}"/>
            </a:ext>
          </a:extLst>
        </xdr:cNvPr>
        <xdr:cNvSpPr/>
      </xdr:nvSpPr>
      <xdr:spPr>
        <a:xfrm>
          <a:off x="14027150" y="201084"/>
          <a:ext cx="984251" cy="825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PDF</a:t>
          </a:r>
        </a:p>
        <a:p>
          <a:pPr algn="l"/>
          <a:r>
            <a:rPr lang="es-ES" sz="900" b="0"/>
            <a:t>Esta macro</a:t>
          </a:r>
          <a:r>
            <a:rPr lang="es-ES" sz="900" b="0" baseline="0"/>
            <a:t> guarda la hoja activa en formato PDF en la misma ruta del libro activo.</a:t>
          </a:r>
          <a:endParaRPr lang="es-ES" sz="900" b="0"/>
        </a:p>
      </xdr:txBody>
    </xdr:sp>
    <xdr:clientData/>
  </xdr:twoCellAnchor>
  <xdr:twoCellAnchor>
    <xdr:from>
      <xdr:col>13</xdr:col>
      <xdr:colOff>105833</xdr:colOff>
      <xdr:row>2</xdr:row>
      <xdr:rowOff>52916</xdr:rowOff>
    </xdr:from>
    <xdr:to>
      <xdr:col>14</xdr:col>
      <xdr:colOff>264584</xdr:colOff>
      <xdr:row>5</xdr:row>
      <xdr:rowOff>116416</xdr:rowOff>
    </xdr:to>
    <xdr:sp macro="[0]!CrearNuevaHoja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770D1F4B-34B5-4D6A-823E-84CF93FDC3E2}"/>
            </a:ext>
          </a:extLst>
        </xdr:cNvPr>
        <xdr:cNvSpPr/>
      </xdr:nvSpPr>
      <xdr:spPr>
        <a:xfrm>
          <a:off x="14037733" y="1132416"/>
          <a:ext cx="984251" cy="806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Nueva</a:t>
          </a:r>
          <a:r>
            <a:rPr lang="es-ES" sz="1100" b="1" baseline="0"/>
            <a:t> Hoja</a:t>
          </a:r>
          <a:r>
            <a:rPr lang="es-ES" sz="900" b="0" baseline="0"/>
            <a:t>.</a:t>
          </a:r>
          <a:endParaRPr lang="es-ES" sz="900" b="0"/>
        </a:p>
      </xdr:txBody>
    </xdr:sp>
    <xdr:clientData/>
  </xdr:twoCellAnchor>
  <xdr:twoCellAnchor editAs="oneCell">
    <xdr:from>
      <xdr:col>1</xdr:col>
      <xdr:colOff>35858</xdr:colOff>
      <xdr:row>1</xdr:row>
      <xdr:rowOff>26894</xdr:rowOff>
    </xdr:from>
    <xdr:to>
      <xdr:col>2</xdr:col>
      <xdr:colOff>813173</xdr:colOff>
      <xdr:row>1</xdr:row>
      <xdr:rowOff>872600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699DF785-0C71-4E35-979C-16E5AB50D1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5408" y="217394"/>
          <a:ext cx="1107515" cy="845706"/>
        </a:xfrm>
        <a:prstGeom prst="rect">
          <a:avLst/>
        </a:prstGeom>
      </xdr:spPr>
    </xdr:pic>
    <xdr:clientData/>
  </xdr:twoCellAnchor>
  <xdr:twoCellAnchor editAs="oneCell">
    <xdr:from>
      <xdr:col>5</xdr:col>
      <xdr:colOff>670214</xdr:colOff>
      <xdr:row>14</xdr:row>
      <xdr:rowOff>3471718</xdr:rowOff>
    </xdr:from>
    <xdr:to>
      <xdr:col>7</xdr:col>
      <xdr:colOff>783218</xdr:colOff>
      <xdr:row>22</xdr:row>
      <xdr:rowOff>19793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0FE5A0-2C43-49A6-BECD-BDEE2E798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foregroundMark x1="33164" y1="25177" x2="33164" y2="25177"/>
                      <a14:foregroundMark x1="45685" y1="14993" x2="45685" y2="14993"/>
                      <a14:foregroundMark x1="45685" y1="14993" x2="45685" y2="14993"/>
                      <a14:foregroundMark x1="55499" y1="13013" x2="55499" y2="13013"/>
                      <a14:foregroundMark x1="59898" y1="14144" x2="59898" y2="14144"/>
                      <a14:foregroundMark x1="63959" y1="16124" x2="63959" y2="16124"/>
                      <a14:foregroundMark x1="60237" y1="55163" x2="60237" y2="55163"/>
                      <a14:foregroundMark x1="68359" y1="36775" x2="68359" y2="36775"/>
                      <a14:foregroundMark x1="67343" y1="21782" x2="67343" y2="21782"/>
                      <a14:foregroundMark x1="67343" y1="21782" x2="67343" y2="21782"/>
                      <a14:foregroundMark x1="67343" y1="21499" x2="67343" y2="21499"/>
                      <a14:foregroundMark x1="64636" y1="16973" x2="64636" y2="16973"/>
                      <a14:foregroundMark x1="54484" y1="12730" x2="54484" y2="12730"/>
                      <a14:foregroundMark x1="47716" y1="14144" x2="47716" y2="14144"/>
                      <a14:foregroundMark x1="52792" y1="13013" x2="52792" y2="13013"/>
                      <a14:foregroundMark x1="52792" y1="13013" x2="52792" y2="13013"/>
                      <a14:foregroundMark x1="52453" y1="40453" x2="52453" y2="40453"/>
                      <a14:foregroundMark x1="68020" y1="23762" x2="68020" y2="23762"/>
                      <a14:foregroundMark x1="64298" y1="17256" x2="64298" y2="17256"/>
                      <a14:foregroundMark x1="63283" y1="16124" x2="63283" y2="16124"/>
                      <a14:foregroundMark x1="60575" y1="14427" x2="60575" y2="14427"/>
                      <a14:foregroundMark x1="50423" y1="13296" x2="50423" y2="13296"/>
                      <a14:foregroundMark x1="50423" y1="13296" x2="50423" y2="13296"/>
                      <a14:foregroundMark x1="46701" y1="14427" x2="46701" y2="14427"/>
                      <a14:foregroundMark x1="46701" y1="14427" x2="46701" y2="14427"/>
                      <a14:foregroundMark x1="67682" y1="22631" x2="67682" y2="22631"/>
                      <a14:foregroundMark x1="66328" y1="19236" x2="66328" y2="19236"/>
                      <a14:foregroundMark x1="66328" y1="19236" x2="66328" y2="19236"/>
                      <a14:foregroundMark x1="66328" y1="19236" x2="66328" y2="19236"/>
                      <a14:foregroundMark x1="58883" y1="13296" x2="58883" y2="13296"/>
                      <a14:foregroundMark x1="56514" y1="13296" x2="56514" y2="13296"/>
                      <a14:foregroundMark x1="49069" y1="13579" x2="49069" y2="13579"/>
                      <a14:foregroundMark x1="49069" y1="13579" x2="49069" y2="13579"/>
                      <a14:foregroundMark x1="68697" y1="24894" x2="68697" y2="24894"/>
                      <a14:foregroundMark x1="67005" y1="20934" x2="67005" y2="20934"/>
                      <a14:foregroundMark x1="66328" y1="19236" x2="66328" y2="19236"/>
                      <a14:foregroundMark x1="62606" y1="15842" x2="62606" y2="15842"/>
                      <a14:foregroundMark x1="61252" y1="14710" x2="61252" y2="14710"/>
                      <a14:foregroundMark x1="52115" y1="12730" x2="52115" y2="12730"/>
                      <a14:foregroundMark x1="51438" y1="13296" x2="51438" y2="13296"/>
                      <a14:foregroundMark x1="60575" y1="14427" x2="60575" y2="14427"/>
                      <a14:backgroundMark x1="54587" y1="29885" x2="54587" y2="298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04114" y="9986818"/>
          <a:ext cx="1891004" cy="2167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1</xdr:row>
      <xdr:rowOff>10584</xdr:rowOff>
    </xdr:from>
    <xdr:to>
      <xdr:col>14</xdr:col>
      <xdr:colOff>254001</xdr:colOff>
      <xdr:row>1</xdr:row>
      <xdr:rowOff>836084</xdr:rowOff>
    </xdr:to>
    <xdr:sp macro="[0]!CrearPDF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5399C46-F2C3-4DE3-A7C1-09C7C80A35E4}"/>
            </a:ext>
          </a:extLst>
        </xdr:cNvPr>
        <xdr:cNvSpPr/>
      </xdr:nvSpPr>
      <xdr:spPr>
        <a:xfrm>
          <a:off x="14027150" y="201084"/>
          <a:ext cx="984251" cy="825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PDF</a:t>
          </a:r>
        </a:p>
        <a:p>
          <a:pPr algn="l"/>
          <a:r>
            <a:rPr lang="es-ES" sz="900" b="0"/>
            <a:t>Esta macro</a:t>
          </a:r>
          <a:r>
            <a:rPr lang="es-ES" sz="900" b="0" baseline="0"/>
            <a:t> guarda la hoja activa en formato PDF en la misma ruta del libro activo.</a:t>
          </a:r>
          <a:endParaRPr lang="es-ES" sz="900" b="0"/>
        </a:p>
      </xdr:txBody>
    </xdr:sp>
    <xdr:clientData/>
  </xdr:twoCellAnchor>
  <xdr:twoCellAnchor>
    <xdr:from>
      <xdr:col>13</xdr:col>
      <xdr:colOff>105833</xdr:colOff>
      <xdr:row>2</xdr:row>
      <xdr:rowOff>52916</xdr:rowOff>
    </xdr:from>
    <xdr:to>
      <xdr:col>14</xdr:col>
      <xdr:colOff>264584</xdr:colOff>
      <xdr:row>5</xdr:row>
      <xdr:rowOff>116416</xdr:rowOff>
    </xdr:to>
    <xdr:sp macro="[0]!CrearNuevaHoja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A414A78-2863-4386-861E-7AED83145601}"/>
            </a:ext>
          </a:extLst>
        </xdr:cNvPr>
        <xdr:cNvSpPr/>
      </xdr:nvSpPr>
      <xdr:spPr>
        <a:xfrm>
          <a:off x="14037733" y="1132416"/>
          <a:ext cx="984251" cy="806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Nueva</a:t>
          </a:r>
          <a:r>
            <a:rPr lang="es-ES" sz="1100" b="1" baseline="0"/>
            <a:t> Hoja</a:t>
          </a:r>
          <a:r>
            <a:rPr lang="es-ES" sz="900" b="0" baseline="0"/>
            <a:t>.</a:t>
          </a:r>
          <a:endParaRPr lang="es-ES" sz="900" b="0"/>
        </a:p>
      </xdr:txBody>
    </xdr:sp>
    <xdr:clientData/>
  </xdr:twoCellAnchor>
  <xdr:twoCellAnchor editAs="oneCell">
    <xdr:from>
      <xdr:col>1</xdr:col>
      <xdr:colOff>35858</xdr:colOff>
      <xdr:row>1</xdr:row>
      <xdr:rowOff>26894</xdr:rowOff>
    </xdr:from>
    <xdr:to>
      <xdr:col>2</xdr:col>
      <xdr:colOff>813173</xdr:colOff>
      <xdr:row>1</xdr:row>
      <xdr:rowOff>872600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2442BAD-10A9-4FC3-8D47-B85DF69CF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5408" y="217394"/>
          <a:ext cx="1107515" cy="845706"/>
        </a:xfrm>
        <a:prstGeom prst="rect">
          <a:avLst/>
        </a:prstGeom>
      </xdr:spPr>
    </xdr:pic>
    <xdr:clientData/>
  </xdr:twoCellAnchor>
  <xdr:twoCellAnchor editAs="oneCell">
    <xdr:from>
      <xdr:col>5</xdr:col>
      <xdr:colOff>670214</xdr:colOff>
      <xdr:row>14</xdr:row>
      <xdr:rowOff>3471718</xdr:rowOff>
    </xdr:from>
    <xdr:to>
      <xdr:col>7</xdr:col>
      <xdr:colOff>783218</xdr:colOff>
      <xdr:row>22</xdr:row>
      <xdr:rowOff>19793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4F894C-A0B0-420B-A547-E2F7F572E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>
                      <a14:foregroundMark x1="33164" y1="25177" x2="33164" y2="25177"/>
                      <a14:foregroundMark x1="45685" y1="14993" x2="45685" y2="14993"/>
                      <a14:foregroundMark x1="45685" y1="14993" x2="45685" y2="14993"/>
                      <a14:foregroundMark x1="55499" y1="13013" x2="55499" y2="13013"/>
                      <a14:foregroundMark x1="59898" y1="14144" x2="59898" y2="14144"/>
                      <a14:foregroundMark x1="63959" y1="16124" x2="63959" y2="16124"/>
                      <a14:foregroundMark x1="60237" y1="55163" x2="60237" y2="55163"/>
                      <a14:foregroundMark x1="68359" y1="36775" x2="68359" y2="36775"/>
                      <a14:foregroundMark x1="67343" y1="21782" x2="67343" y2="21782"/>
                      <a14:foregroundMark x1="67343" y1="21782" x2="67343" y2="21782"/>
                      <a14:foregroundMark x1="67343" y1="21499" x2="67343" y2="21499"/>
                      <a14:foregroundMark x1="64636" y1="16973" x2="64636" y2="16973"/>
                      <a14:foregroundMark x1="54484" y1="12730" x2="54484" y2="12730"/>
                      <a14:foregroundMark x1="47716" y1="14144" x2="47716" y2="14144"/>
                      <a14:foregroundMark x1="52792" y1="13013" x2="52792" y2="13013"/>
                      <a14:foregroundMark x1="52792" y1="13013" x2="52792" y2="13013"/>
                      <a14:foregroundMark x1="52453" y1="40453" x2="52453" y2="40453"/>
                      <a14:foregroundMark x1="68020" y1="23762" x2="68020" y2="23762"/>
                      <a14:foregroundMark x1="64298" y1="17256" x2="64298" y2="17256"/>
                      <a14:foregroundMark x1="63283" y1="16124" x2="63283" y2="16124"/>
                      <a14:foregroundMark x1="60575" y1="14427" x2="60575" y2="14427"/>
                      <a14:foregroundMark x1="50423" y1="13296" x2="50423" y2="13296"/>
                      <a14:foregroundMark x1="50423" y1="13296" x2="50423" y2="13296"/>
                      <a14:foregroundMark x1="46701" y1="14427" x2="46701" y2="14427"/>
                      <a14:foregroundMark x1="46701" y1="14427" x2="46701" y2="14427"/>
                      <a14:foregroundMark x1="67682" y1="22631" x2="67682" y2="22631"/>
                      <a14:foregroundMark x1="66328" y1="19236" x2="66328" y2="19236"/>
                      <a14:foregroundMark x1="66328" y1="19236" x2="66328" y2="19236"/>
                      <a14:foregroundMark x1="66328" y1="19236" x2="66328" y2="19236"/>
                      <a14:foregroundMark x1="58883" y1="13296" x2="58883" y2="13296"/>
                      <a14:foregroundMark x1="56514" y1="13296" x2="56514" y2="13296"/>
                      <a14:foregroundMark x1="49069" y1="13579" x2="49069" y2="13579"/>
                      <a14:foregroundMark x1="49069" y1="13579" x2="49069" y2="13579"/>
                      <a14:foregroundMark x1="68697" y1="24894" x2="68697" y2="24894"/>
                      <a14:foregroundMark x1="67005" y1="20934" x2="67005" y2="20934"/>
                      <a14:foregroundMark x1="66328" y1="19236" x2="66328" y2="19236"/>
                      <a14:foregroundMark x1="62606" y1="15842" x2="62606" y2="15842"/>
                      <a14:foregroundMark x1="61252" y1="14710" x2="61252" y2="14710"/>
                      <a14:foregroundMark x1="52115" y1="12730" x2="52115" y2="12730"/>
                      <a14:foregroundMark x1="51438" y1="13296" x2="51438" y2="13296"/>
                      <a14:foregroundMark x1="60575" y1="14427" x2="60575" y2="14427"/>
                      <a14:backgroundMark x1="54587" y1="29885" x2="54587" y2="2988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04114" y="9986818"/>
          <a:ext cx="1891004" cy="216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1</xdr:row>
      <xdr:rowOff>10584</xdr:rowOff>
    </xdr:from>
    <xdr:to>
      <xdr:col>14</xdr:col>
      <xdr:colOff>254001</xdr:colOff>
      <xdr:row>1</xdr:row>
      <xdr:rowOff>836084</xdr:rowOff>
    </xdr:to>
    <xdr:sp macro="[0]!CrearPDF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68086C4-6AAB-4B9A-8772-182FFA90574D}"/>
            </a:ext>
          </a:extLst>
        </xdr:cNvPr>
        <xdr:cNvSpPr/>
      </xdr:nvSpPr>
      <xdr:spPr>
        <a:xfrm>
          <a:off x="14245590" y="201084"/>
          <a:ext cx="966471" cy="825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PDF</a:t>
          </a:r>
        </a:p>
        <a:p>
          <a:pPr algn="l"/>
          <a:r>
            <a:rPr lang="es-ES" sz="900" b="0"/>
            <a:t>Esta macro</a:t>
          </a:r>
          <a:r>
            <a:rPr lang="es-ES" sz="900" b="0" baseline="0"/>
            <a:t> guarda la hoja activa en formato PDF en la misma ruta del libro activo.</a:t>
          </a:r>
          <a:endParaRPr lang="es-ES" sz="900" b="0"/>
        </a:p>
      </xdr:txBody>
    </xdr:sp>
    <xdr:clientData/>
  </xdr:twoCellAnchor>
  <xdr:twoCellAnchor>
    <xdr:from>
      <xdr:col>13</xdr:col>
      <xdr:colOff>105833</xdr:colOff>
      <xdr:row>2</xdr:row>
      <xdr:rowOff>52916</xdr:rowOff>
    </xdr:from>
    <xdr:to>
      <xdr:col>14</xdr:col>
      <xdr:colOff>264584</xdr:colOff>
      <xdr:row>5</xdr:row>
      <xdr:rowOff>116416</xdr:rowOff>
    </xdr:to>
    <xdr:sp macro="[0]!CrearNuevaHoja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BAD81B49-3A30-401A-9895-FF1263A158D0}"/>
            </a:ext>
          </a:extLst>
        </xdr:cNvPr>
        <xdr:cNvSpPr/>
      </xdr:nvSpPr>
      <xdr:spPr>
        <a:xfrm>
          <a:off x="14256173" y="1127336"/>
          <a:ext cx="966471" cy="8178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100" b="1"/>
            <a:t>Crear Nueva</a:t>
          </a:r>
          <a:r>
            <a:rPr lang="es-ES" sz="1100" b="1" baseline="0"/>
            <a:t> Hoja</a:t>
          </a:r>
          <a:r>
            <a:rPr lang="es-ES" sz="900" b="0" baseline="0"/>
            <a:t>.</a:t>
          </a:r>
          <a:endParaRPr lang="es-ES" sz="900" b="0"/>
        </a:p>
      </xdr:txBody>
    </xdr:sp>
    <xdr:clientData/>
  </xdr:twoCellAnchor>
  <xdr:twoCellAnchor editAs="oneCell">
    <xdr:from>
      <xdr:col>1</xdr:col>
      <xdr:colOff>35858</xdr:colOff>
      <xdr:row>1</xdr:row>
      <xdr:rowOff>26894</xdr:rowOff>
    </xdr:from>
    <xdr:to>
      <xdr:col>2</xdr:col>
      <xdr:colOff>813173</xdr:colOff>
      <xdr:row>1</xdr:row>
      <xdr:rowOff>872600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FCEB2EF-7350-4FAB-BB3F-8003C3381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1598" y="217394"/>
          <a:ext cx="1104975" cy="84570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16</xdr:row>
      <xdr:rowOff>49290</xdr:rowOff>
    </xdr:from>
    <xdr:to>
      <xdr:col>5</xdr:col>
      <xdr:colOff>546099</xdr:colOff>
      <xdr:row>19</xdr:row>
      <xdr:rowOff>165100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22F25F-7013-4793-AE8D-822324EE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3760" y="7905510"/>
          <a:ext cx="1582419" cy="1251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velasquez\Downloads\PDS_BUREAU_VERITAS%2001.Feb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Feb"/>
      <sheetName val="Data"/>
      <sheetName val="1.Mar"/>
    </sheetNames>
    <sheetDataSet>
      <sheetData sheetId="0"/>
      <sheetData sheetId="1">
        <row r="4">
          <cell r="B4" t="str">
            <v>CHAMPI CHOQUEPATA, Rogelio</v>
          </cell>
          <cell r="F4" t="str">
            <v>Perforadora Manual</v>
          </cell>
          <cell r="G4" t="str">
            <v>Alquiler - Perforadora Manual (SPT)</v>
          </cell>
          <cell r="J4" t="str">
            <v>Cuzco</v>
          </cell>
          <cell r="M4" t="str">
            <v>Control de Gestión</v>
          </cell>
        </row>
        <row r="5">
          <cell r="B5" t="str">
            <v>JARA MAYTA, Samuel</v>
          </cell>
          <cell r="F5" t="str">
            <v>Camioneta BCQ 939</v>
          </cell>
          <cell r="G5" t="str">
            <v xml:space="preserve">Alquiler - Pick up 4x4 </v>
          </cell>
          <cell r="J5" t="str">
            <v>Huamanga</v>
          </cell>
          <cell r="M5" t="str">
            <v>Ingeniería</v>
          </cell>
        </row>
        <row r="6">
          <cell r="B6" t="str">
            <v xml:space="preserve">MARQUEZ CAPANNI, Jose Manuel </v>
          </cell>
          <cell r="F6"/>
          <cell r="G6"/>
          <cell r="J6" t="str">
            <v>Huaytara</v>
          </cell>
          <cell r="M6" t="str">
            <v>V/D KP  00+000 al KP  12+500</v>
          </cell>
        </row>
        <row r="7">
          <cell r="B7" t="str">
            <v>QUISOCALA LERMA, Angelo</v>
          </cell>
          <cell r="F7"/>
          <cell r="G7"/>
          <cell r="J7" t="str">
            <v>Kiteni</v>
          </cell>
          <cell r="M7" t="str">
            <v>V/D KP  12+500 al KP  25+000</v>
          </cell>
        </row>
        <row r="8">
          <cell r="B8" t="str">
            <v>BAQUERIZO CONDORI, Ruben</v>
          </cell>
          <cell r="F8"/>
          <cell r="G8"/>
          <cell r="J8" t="str">
            <v>Lima</v>
          </cell>
          <cell r="M8" t="str">
            <v>V/D KP  25+000 al KP  35+000</v>
          </cell>
        </row>
        <row r="9">
          <cell r="B9" t="str">
            <v>ALVAREZ QUISPE, John Alexander</v>
          </cell>
          <cell r="F9"/>
          <cell r="G9"/>
          <cell r="J9" t="str">
            <v>Malvinas</v>
          </cell>
          <cell r="M9" t="str">
            <v>V/D KP  35+000 al KP  43+000</v>
          </cell>
        </row>
        <row r="10">
          <cell r="B10" t="str">
            <v>JESUS MASS, Walter Yasunari</v>
          </cell>
          <cell r="F10"/>
          <cell r="G10"/>
          <cell r="J10" t="str">
            <v>PS2</v>
          </cell>
          <cell r="M10" t="str">
            <v>V/D KP  43+000 al KP  53+000</v>
          </cell>
        </row>
        <row r="11">
          <cell r="B11" t="str">
            <v>FUENTES HUAMAN, Jhon</v>
          </cell>
          <cell r="F11"/>
          <cell r="G11"/>
          <cell r="J11" t="str">
            <v>Quillabamba</v>
          </cell>
          <cell r="M11" t="str">
            <v>V/D KP  53+000 al KP  61+500</v>
          </cell>
        </row>
        <row r="12">
          <cell r="B12" t="str">
            <v>JIMENEZ VELASQUEZ, Douglas Alberto</v>
          </cell>
          <cell r="F12"/>
          <cell r="G12"/>
          <cell r="J12" t="str">
            <v>San Antonio</v>
          </cell>
          <cell r="M12" t="str">
            <v>V/D KP  61+500 al KP  75+000</v>
          </cell>
        </row>
        <row r="13">
          <cell r="B13" t="str">
            <v>SALDARRIAGA COPELLO, Jairo  Omar</v>
          </cell>
          <cell r="F13"/>
          <cell r="G13"/>
          <cell r="J13" t="str">
            <v>San Clemente</v>
          </cell>
          <cell r="M13" t="str">
            <v>V/D KP  75+000 al KP  89+000</v>
          </cell>
        </row>
        <row r="14">
          <cell r="B14" t="str">
            <v>CANDIA GUEVARA, Jose</v>
          </cell>
          <cell r="F14"/>
          <cell r="G14"/>
          <cell r="J14" t="str">
            <v>San Miguel</v>
          </cell>
          <cell r="M14" t="str">
            <v>V/D KP  89+000 al KP  99+000</v>
          </cell>
        </row>
        <row r="15">
          <cell r="B15" t="str">
            <v>CAZORLA MORENO, Luis</v>
          </cell>
          <cell r="F15"/>
          <cell r="G15"/>
          <cell r="J15" t="str">
            <v>KP 7</v>
          </cell>
          <cell r="M15"/>
        </row>
        <row r="16">
          <cell r="B16" t="str">
            <v>PERALTA FORONDA, Renan</v>
          </cell>
          <cell r="F16"/>
          <cell r="G16"/>
          <cell r="J16" t="str">
            <v>PC-3A</v>
          </cell>
          <cell r="M16"/>
        </row>
        <row r="17">
          <cell r="B17" t="str">
            <v>CASTRO GUILLEN, Jose Enrique</v>
          </cell>
          <cell r="F17"/>
          <cell r="G17"/>
          <cell r="J17" t="str">
            <v>KP 8+800</v>
          </cell>
          <cell r="M17"/>
        </row>
        <row r="18">
          <cell r="B18" t="str">
            <v>ARANGOITIA RENDON, Yuri</v>
          </cell>
          <cell r="F18"/>
          <cell r="G18"/>
          <cell r="J18" t="str">
            <v>KP 18</v>
          </cell>
          <cell r="M18"/>
        </row>
        <row r="19">
          <cell r="B19" t="str">
            <v>NIMA HURTADO, Dave Jampiere</v>
          </cell>
          <cell r="F19"/>
          <cell r="G19"/>
          <cell r="J19" t="str">
            <v>KP 30</v>
          </cell>
          <cell r="M19"/>
        </row>
        <row r="20">
          <cell r="B20" t="str">
            <v>MAMANI MUÑIZ, Cindy Andrea</v>
          </cell>
          <cell r="F20"/>
          <cell r="G20"/>
          <cell r="J20" t="str">
            <v>KP 40</v>
          </cell>
          <cell r="M20"/>
        </row>
        <row r="21">
          <cell r="B21" t="str">
            <v>BAZAN CESPEDES, Eder</v>
          </cell>
          <cell r="F21"/>
          <cell r="G21"/>
          <cell r="J21" t="str">
            <v>KP 43</v>
          </cell>
          <cell r="M21"/>
        </row>
        <row r="22">
          <cell r="B22"/>
          <cell r="F22"/>
          <cell r="G22"/>
          <cell r="J22" t="str">
            <v>KP 45</v>
          </cell>
          <cell r="M22"/>
        </row>
        <row r="23">
          <cell r="B23"/>
          <cell r="F23"/>
          <cell r="G23"/>
          <cell r="J23" t="str">
            <v>KP 50</v>
          </cell>
          <cell r="M23"/>
        </row>
        <row r="24">
          <cell r="B24"/>
          <cell r="F24"/>
          <cell r="G24"/>
          <cell r="J24" t="str">
            <v>KP 57</v>
          </cell>
          <cell r="M24"/>
        </row>
        <row r="25">
          <cell r="B25"/>
          <cell r="F25"/>
          <cell r="G25"/>
          <cell r="J25" t="str">
            <v>KP 64</v>
          </cell>
          <cell r="M25"/>
        </row>
        <row r="26">
          <cell r="B26"/>
          <cell r="F26"/>
          <cell r="G26"/>
          <cell r="J26" t="str">
            <v>KP 71</v>
          </cell>
          <cell r="M26"/>
        </row>
        <row r="27">
          <cell r="B27"/>
          <cell r="F27"/>
          <cell r="G27"/>
          <cell r="J27" t="str">
            <v>KP 82</v>
          </cell>
          <cell r="M27"/>
        </row>
        <row r="28">
          <cell r="B28"/>
          <cell r="F28"/>
          <cell r="G28"/>
          <cell r="J28" t="str">
            <v>KP 90</v>
          </cell>
          <cell r="M28"/>
        </row>
        <row r="29">
          <cell r="B29"/>
          <cell r="F29"/>
          <cell r="G29"/>
          <cell r="J29" t="str">
            <v>KP 95</v>
          </cell>
          <cell r="M29"/>
        </row>
        <row r="30">
          <cell r="B30"/>
          <cell r="F30"/>
          <cell r="G30"/>
          <cell r="J30" t="str">
            <v>KP 108</v>
          </cell>
          <cell r="M30"/>
        </row>
        <row r="31">
          <cell r="B31"/>
          <cell r="F31"/>
          <cell r="G31"/>
          <cell r="J31" t="str">
            <v>KP 126</v>
          </cell>
          <cell r="M31"/>
        </row>
        <row r="32">
          <cell r="B32"/>
          <cell r="F32"/>
          <cell r="G32"/>
          <cell r="J32" t="str">
            <v>KP 142</v>
          </cell>
          <cell r="M32"/>
        </row>
        <row r="33">
          <cell r="B33"/>
          <cell r="F33"/>
          <cell r="G33"/>
          <cell r="J33" t="str">
            <v>KP 150</v>
          </cell>
          <cell r="M33"/>
        </row>
        <row r="34">
          <cell r="B34"/>
          <cell r="F34"/>
          <cell r="G34"/>
          <cell r="J34" t="str">
            <v>KP 136</v>
          </cell>
          <cell r="M34"/>
        </row>
        <row r="35">
          <cell r="J35" t="str">
            <v>KP 122</v>
          </cell>
          <cell r="M35"/>
        </row>
        <row r="36">
          <cell r="M36"/>
        </row>
        <row r="37">
          <cell r="M37"/>
        </row>
        <row r="38">
          <cell r="M38"/>
        </row>
        <row r="39">
          <cell r="M39"/>
        </row>
        <row r="40">
          <cell r="M40"/>
        </row>
        <row r="41">
          <cell r="M41"/>
        </row>
        <row r="42">
          <cell r="M42"/>
        </row>
        <row r="43">
          <cell r="M43"/>
        </row>
        <row r="44">
          <cell r="M44"/>
        </row>
        <row r="45">
          <cell r="M45"/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208898-9AA9-4095-AB1D-19F9327A1041}">
  <we:reference id="wa200009404" version="1.0.0.8" store="es-E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cf036bb4-e893-452b-8f70-e6f021b9307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B651-912E-4596-AAAE-19D82D0DF6AA}">
  <sheetPr codeName="Hoja1026">
    <tabColor rgb="FFFFFF00"/>
    <pageSetUpPr fitToPage="1"/>
  </sheetPr>
  <dimension ref="B1:P24"/>
  <sheetViews>
    <sheetView showGridLines="0" topLeftCell="B1" zoomScale="50" zoomScaleNormal="50" zoomScaleSheetLayoutView="85" zoomScalePageLayoutView="110" workbookViewId="0">
      <selection activeCell="K5" sqref="K5:L5"/>
    </sheetView>
  </sheetViews>
  <sheetFormatPr baseColWidth="10" defaultColWidth="9.1796875" defaultRowHeight="14.5" x14ac:dyDescent="0.35"/>
  <cols>
    <col min="1" max="1" width="3" customWidth="1"/>
    <col min="2" max="2" width="4.81640625" customWidth="1"/>
    <col min="3" max="3" width="34.1796875" customWidth="1"/>
    <col min="4" max="5" width="11.453125" customWidth="1"/>
    <col min="6" max="7" width="12.81640625" customWidth="1"/>
    <col min="8" max="8" width="15.81640625" customWidth="1"/>
    <col min="9" max="9" width="22.81640625" customWidth="1"/>
    <col min="10" max="10" width="34.453125" customWidth="1"/>
    <col min="11" max="11" width="13.81640625" customWidth="1"/>
    <col min="12" max="12" width="17" customWidth="1"/>
    <col min="13" max="13" width="5.1796875" customWidth="1"/>
    <col min="14" max="14" width="11.81640625" customWidth="1"/>
    <col min="15" max="15" width="15.453125" customWidth="1"/>
    <col min="16" max="16" width="14.1796875" customWidth="1"/>
    <col min="18" max="18" width="9.1796875" customWidth="1"/>
  </cols>
  <sheetData>
    <row r="1" spans="2:16" ht="15" thickBot="1" x14ac:dyDescent="0.4"/>
    <row r="2" spans="2:16" ht="70" customHeight="1" thickBot="1" x14ac:dyDescent="0.4">
      <c r="B2" s="83" t="s">
        <v>19</v>
      </c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2:16" ht="20" customHeight="1" thickBot="1" x14ac:dyDescent="0.4">
      <c r="B3" s="86" t="s">
        <v>11</v>
      </c>
      <c r="C3" s="66"/>
      <c r="D3" s="66"/>
      <c r="E3" s="66"/>
      <c r="F3" s="66"/>
      <c r="G3" s="66"/>
      <c r="H3" s="66"/>
      <c r="I3" s="66"/>
      <c r="J3" s="66"/>
      <c r="K3" s="66"/>
      <c r="L3" s="87"/>
    </row>
    <row r="4" spans="2:16" s="2" customFormat="1" ht="20" customHeight="1" x14ac:dyDescent="0.35">
      <c r="B4" s="40" t="s">
        <v>12</v>
      </c>
      <c r="C4" s="41"/>
      <c r="D4" s="41"/>
      <c r="E4" s="41"/>
      <c r="F4" s="41"/>
      <c r="G4" s="41"/>
      <c r="H4" s="41"/>
      <c r="I4" s="42"/>
      <c r="J4" s="8" t="s">
        <v>9</v>
      </c>
      <c r="K4" s="88" t="s">
        <v>8</v>
      </c>
      <c r="L4" s="89"/>
    </row>
    <row r="5" spans="2:16" s="1" customFormat="1" ht="20" customHeight="1" thickBot="1" x14ac:dyDescent="0.4">
      <c r="B5" s="90" t="s">
        <v>31</v>
      </c>
      <c r="C5" s="91"/>
      <c r="D5" s="91"/>
      <c r="E5" s="91"/>
      <c r="F5" s="91"/>
      <c r="G5" s="91"/>
      <c r="H5" s="91"/>
      <c r="I5" s="92"/>
      <c r="J5" s="7" t="s">
        <v>60</v>
      </c>
      <c r="K5" s="93">
        <v>45696</v>
      </c>
      <c r="L5" s="94"/>
      <c r="M5" s="3"/>
    </row>
    <row r="6" spans="2:16" ht="20" customHeight="1" thickBot="1" x14ac:dyDescent="0.4">
      <c r="B6" s="60" t="s">
        <v>13</v>
      </c>
      <c r="C6" s="61"/>
      <c r="D6" s="61"/>
      <c r="E6" s="61"/>
      <c r="F6" s="61"/>
      <c r="G6" s="61"/>
      <c r="H6" s="61"/>
      <c r="I6" s="61"/>
      <c r="J6" s="61"/>
      <c r="K6" s="61"/>
      <c r="L6" s="64"/>
    </row>
    <row r="7" spans="2:16" ht="20" customHeight="1" x14ac:dyDescent="0.35">
      <c r="B7" s="30" t="s">
        <v>16</v>
      </c>
      <c r="C7" s="65" t="s">
        <v>0</v>
      </c>
      <c r="D7" s="66"/>
      <c r="E7" s="67"/>
      <c r="F7" s="28" t="s">
        <v>4</v>
      </c>
      <c r="G7" s="28" t="s">
        <v>1</v>
      </c>
      <c r="H7" s="65" t="s">
        <v>5</v>
      </c>
      <c r="I7" s="67"/>
      <c r="J7" s="28" t="s">
        <v>21</v>
      </c>
      <c r="K7" s="28" t="s">
        <v>18</v>
      </c>
      <c r="L7" s="29" t="s">
        <v>17</v>
      </c>
      <c r="M7" s="1"/>
    </row>
    <row r="8" spans="2:16" s="10" customFormat="1" ht="20" customHeight="1" x14ac:dyDescent="0.35">
      <c r="B8" s="32">
        <v>1</v>
      </c>
      <c r="C8" s="68" t="s">
        <v>50</v>
      </c>
      <c r="D8" s="69"/>
      <c r="E8" s="70"/>
      <c r="F8" s="16" t="s">
        <v>34</v>
      </c>
      <c r="G8" s="16" t="s">
        <v>34</v>
      </c>
      <c r="H8" s="71" t="str">
        <f>+IFERROR(VLOOKUP(C8,Data!B:C,2,0),"")</f>
        <v>COST CONTROL SEMI SENIOR</v>
      </c>
      <c r="I8" s="71"/>
      <c r="J8" s="15" t="s">
        <v>38</v>
      </c>
      <c r="K8" s="27" t="str">
        <f>+IFERROR(VLOOKUP(J8,Data!M:O,2,0),"")</f>
        <v xml:space="preserve"> A111004</v>
      </c>
      <c r="L8" s="31" t="str">
        <f>+IFERROR(VLOOKUP(J8,Data!M:O,3,0),"")</f>
        <v xml:space="preserve"> TGGT-2509</v>
      </c>
    </row>
    <row r="9" spans="2:16" ht="20" customHeight="1" thickBot="1" x14ac:dyDescent="0.4">
      <c r="B9" s="72" t="s">
        <v>6</v>
      </c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2:16" ht="20" customHeight="1" thickBot="1" x14ac:dyDescent="0.4">
      <c r="B10" s="18" t="s">
        <v>16</v>
      </c>
      <c r="C10" s="19" t="s">
        <v>14</v>
      </c>
      <c r="D10" s="23" t="s">
        <v>22</v>
      </c>
      <c r="E10" s="23" t="s">
        <v>23</v>
      </c>
      <c r="F10" s="19" t="s">
        <v>4</v>
      </c>
      <c r="G10" s="19" t="s">
        <v>1</v>
      </c>
      <c r="H10" s="63" t="s">
        <v>5</v>
      </c>
      <c r="I10" s="62"/>
      <c r="J10" s="19" t="s">
        <v>21</v>
      </c>
      <c r="K10" s="19" t="s">
        <v>18</v>
      </c>
      <c r="L10" s="20" t="s">
        <v>17</v>
      </c>
      <c r="N10" s="20" t="s">
        <v>14</v>
      </c>
      <c r="O10" s="20" t="s">
        <v>28</v>
      </c>
      <c r="P10" s="20" t="s">
        <v>29</v>
      </c>
    </row>
    <row r="11" spans="2:16" s="10" customFormat="1" ht="20" customHeight="1" x14ac:dyDescent="0.35">
      <c r="B11" s="4"/>
      <c r="C11" s="24"/>
      <c r="D11" s="16"/>
      <c r="E11" s="16"/>
      <c r="F11" s="16"/>
      <c r="G11" s="16"/>
      <c r="H11" s="75"/>
      <c r="I11" s="76"/>
      <c r="J11" s="15"/>
      <c r="K11" s="21"/>
      <c r="L11" s="22"/>
      <c r="N11" s="12" t="str">
        <f>MID(C11,11,7)</f>
        <v/>
      </c>
      <c r="O11" s="13">
        <f>E11-D11</f>
        <v>0</v>
      </c>
      <c r="P11" s="13">
        <f>+O11</f>
        <v>0</v>
      </c>
    </row>
    <row r="12" spans="2:16" s="10" customFormat="1" ht="20" customHeight="1" thickBot="1" x14ac:dyDescent="0.4">
      <c r="B12" s="4"/>
      <c r="C12" s="24"/>
      <c r="D12" s="16"/>
      <c r="F12" s="16"/>
      <c r="G12" s="16"/>
      <c r="H12" s="75"/>
      <c r="I12" s="76"/>
      <c r="J12" s="15"/>
      <c r="K12" s="21"/>
      <c r="L12" s="22"/>
      <c r="N12" s="25"/>
      <c r="O12" s="26"/>
      <c r="P12" s="26"/>
    </row>
    <row r="13" spans="2:16" ht="20" customHeight="1" thickBot="1" x14ac:dyDescent="0.4">
      <c r="B13" s="60" t="s">
        <v>2</v>
      </c>
      <c r="C13" s="61"/>
      <c r="D13" s="61"/>
      <c r="E13" s="61"/>
      <c r="F13" s="61"/>
      <c r="G13" s="61"/>
      <c r="H13" s="61"/>
      <c r="I13" s="61"/>
      <c r="J13" s="61"/>
      <c r="K13" s="61"/>
      <c r="L13" s="64"/>
      <c r="N13" s="25" t="str">
        <f>MID(C13,11,7)</f>
        <v/>
      </c>
      <c r="O13" s="26"/>
      <c r="P13" s="26"/>
    </row>
    <row r="14" spans="2:16" ht="213.5" customHeight="1" x14ac:dyDescent="0.35">
      <c r="B14" s="77" t="s">
        <v>78</v>
      </c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2:16" ht="286" customHeight="1" thickBot="1" x14ac:dyDescent="0.4"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2:16" ht="20" customHeight="1" thickBot="1" x14ac:dyDescent="0.4">
      <c r="B16" s="60" t="s">
        <v>20</v>
      </c>
      <c r="C16" s="61"/>
      <c r="D16" s="61"/>
      <c r="E16" s="61"/>
      <c r="F16" s="61"/>
      <c r="G16" s="61"/>
      <c r="H16" s="62"/>
      <c r="I16" s="63" t="s">
        <v>30</v>
      </c>
      <c r="J16" s="61"/>
      <c r="K16" s="61"/>
      <c r="L16" s="64"/>
    </row>
    <row r="17" spans="2:12" ht="50" customHeight="1" x14ac:dyDescent="0.35">
      <c r="B17" s="40" t="s">
        <v>7</v>
      </c>
      <c r="C17" s="41"/>
      <c r="D17" s="41"/>
      <c r="E17" s="41"/>
      <c r="F17" s="41"/>
      <c r="G17" s="41"/>
      <c r="H17" s="42"/>
      <c r="I17" s="43" t="s">
        <v>7</v>
      </c>
      <c r="J17" s="41"/>
      <c r="K17" s="41"/>
      <c r="L17" s="44"/>
    </row>
    <row r="18" spans="2:12" ht="20" customHeight="1" x14ac:dyDescent="0.35">
      <c r="B18" s="45"/>
      <c r="C18" s="46"/>
      <c r="D18" s="46"/>
      <c r="E18" s="46"/>
      <c r="F18" s="46"/>
      <c r="G18" s="46"/>
      <c r="H18" s="47"/>
      <c r="I18" s="48"/>
      <c r="J18" s="46"/>
      <c r="K18" s="46"/>
      <c r="L18" s="49"/>
    </row>
    <row r="19" spans="2:12" ht="20" customHeight="1" x14ac:dyDescent="0.35">
      <c r="B19" s="50" t="s">
        <v>32</v>
      </c>
      <c r="C19" s="51"/>
      <c r="D19" s="51"/>
      <c r="E19" s="51"/>
      <c r="F19" s="51"/>
      <c r="G19" s="51"/>
      <c r="H19" s="52"/>
      <c r="I19" s="56" t="s">
        <v>10</v>
      </c>
      <c r="J19" s="51"/>
      <c r="K19" s="51"/>
      <c r="L19" s="57"/>
    </row>
    <row r="20" spans="2:12" ht="20" customHeight="1" thickBot="1" x14ac:dyDescent="0.4">
      <c r="B20" s="53"/>
      <c r="C20" s="54"/>
      <c r="D20" s="54"/>
      <c r="E20" s="54"/>
      <c r="F20" s="54"/>
      <c r="G20" s="54"/>
      <c r="H20" s="55"/>
      <c r="I20" s="58"/>
      <c r="J20" s="54"/>
      <c r="K20" s="54"/>
      <c r="L20" s="59"/>
    </row>
    <row r="21" spans="2:12" x14ac:dyDescent="0.35">
      <c r="B21" s="1"/>
    </row>
    <row r="22" spans="2:12" x14ac:dyDescent="0.35">
      <c r="B22" s="1"/>
    </row>
    <row r="23" spans="2:12" x14ac:dyDescent="0.35">
      <c r="B23" s="1"/>
    </row>
    <row r="24" spans="2:12" x14ac:dyDescent="0.35">
      <c r="B24" s="1"/>
    </row>
  </sheetData>
  <dataConsolidate link="1"/>
  <mergeCells count="25">
    <mergeCell ref="B2:L2"/>
    <mergeCell ref="B3:L3"/>
    <mergeCell ref="B4:I4"/>
    <mergeCell ref="K4:L4"/>
    <mergeCell ref="B5:I5"/>
    <mergeCell ref="K5:L5"/>
    <mergeCell ref="B16:H16"/>
    <mergeCell ref="I16:L16"/>
    <mergeCell ref="B6:L6"/>
    <mergeCell ref="C7:E7"/>
    <mergeCell ref="H7:I7"/>
    <mergeCell ref="C8:E8"/>
    <mergeCell ref="H8:I8"/>
    <mergeCell ref="B9:L9"/>
    <mergeCell ref="H10:I10"/>
    <mergeCell ref="H11:I11"/>
    <mergeCell ref="H12:I12"/>
    <mergeCell ref="B13:L13"/>
    <mergeCell ref="B14:L15"/>
    <mergeCell ref="B17:H17"/>
    <mergeCell ref="I17:L17"/>
    <mergeCell ref="B18:H18"/>
    <mergeCell ref="I18:L18"/>
    <mergeCell ref="B19:H20"/>
    <mergeCell ref="I19:L20"/>
  </mergeCells>
  <pageMargins left="0.7" right="0.7" top="0.75" bottom="0.75" header="0.3" footer="0.3"/>
  <pageSetup paperSize="9" scale="45" orientation="portrait" cellComments="atEnd" r:id="rId1"/>
  <headerFooter>
    <oddFooter>&amp;C&amp;1#&amp;"Calibri"&amp;11&amp;K000000BV_C2_Internal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8467445-7D49-4A25-B3A8-0F6B2BB68921}">
          <x14:formula1>
            <xm:f>Data!$G$4:$G$22</xm:f>
          </x14:formula1>
          <xm:sqref>H11:I12</xm:sqref>
        </x14:dataValidation>
        <x14:dataValidation type="list" allowBlank="1" showInputMessage="1" showErrorMessage="1" xr:uid="{68E1F63F-27D0-4770-B531-3BA9997977D2}">
          <x14:formula1>
            <xm:f>Data!$F$4:$F$23</xm:f>
          </x14:formula1>
          <xm:sqref>C11:C12</xm:sqref>
        </x14:dataValidation>
        <x14:dataValidation type="list" allowBlank="1" showInputMessage="1" showErrorMessage="1" xr:uid="{BD095020-C57A-4D76-AF8B-21E26B5FA650}">
          <x14:formula1>
            <xm:f>Data!$B$4:$B$29</xm:f>
          </x14:formula1>
          <xm:sqref>C8</xm:sqref>
        </x14:dataValidation>
        <x14:dataValidation type="list" allowBlank="1" showInputMessage="1" showErrorMessage="1" xr:uid="{FF181DE1-3FE2-4DF9-B6C4-985DCF70EA48}">
          <x14:formula1>
            <xm:f>Data!$J$4:$J$75</xm:f>
          </x14:formula1>
          <xm:sqref>F11:G11</xm:sqref>
        </x14:dataValidation>
        <x14:dataValidation type="list" allowBlank="1" showInputMessage="1" showErrorMessage="1" xr:uid="{9102208F-D74C-4D0A-AB02-5A949F602FF4}">
          <x14:formula1>
            <xm:f>Data!$J$4:$J$70</xm:f>
          </x14:formula1>
          <xm:sqref>F12:G12 F8:G8</xm:sqref>
        </x14:dataValidation>
        <x14:dataValidation type="list" allowBlank="1" showInputMessage="1" showErrorMessage="1" xr:uid="{FD909FCE-FD94-4A26-9EBE-4953A50F4D2D}">
          <x14:formula1>
            <xm:f>Data!$M$4:$M$39</xm:f>
          </x14:formula1>
          <xm:sqref>J11:J12 J8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011B-1918-4A67-97D7-5C57E96BEF14}">
  <sheetPr codeName="Hoja1027">
    <tabColor rgb="FFFFFF00"/>
    <pageSetUpPr fitToPage="1"/>
  </sheetPr>
  <dimension ref="B1:P24"/>
  <sheetViews>
    <sheetView showGridLines="0" topLeftCell="B1" zoomScale="50" zoomScaleNormal="50" zoomScaleSheetLayoutView="85" zoomScalePageLayoutView="110" workbookViewId="0">
      <selection activeCell="K5" sqref="K5:L5"/>
    </sheetView>
  </sheetViews>
  <sheetFormatPr baseColWidth="10" defaultColWidth="9.1796875" defaultRowHeight="14.5" x14ac:dyDescent="0.35"/>
  <cols>
    <col min="1" max="1" width="3" customWidth="1"/>
    <col min="2" max="2" width="4.81640625" customWidth="1"/>
    <col min="3" max="3" width="34.1796875" customWidth="1"/>
    <col min="4" max="5" width="11.453125" customWidth="1"/>
    <col min="6" max="7" width="12.81640625" customWidth="1"/>
    <col min="8" max="8" width="15.81640625" customWidth="1"/>
    <col min="9" max="9" width="22.81640625" customWidth="1"/>
    <col min="10" max="10" width="34.453125" customWidth="1"/>
    <col min="11" max="11" width="13.81640625" customWidth="1"/>
    <col min="12" max="12" width="17" customWidth="1"/>
    <col min="13" max="13" width="5.1796875" customWidth="1"/>
    <col min="14" max="14" width="11.81640625" customWidth="1"/>
    <col min="15" max="15" width="15.453125" customWidth="1"/>
    <col min="16" max="16" width="14.1796875" customWidth="1"/>
    <col min="18" max="18" width="9.1796875" customWidth="1"/>
  </cols>
  <sheetData>
    <row r="1" spans="2:16" ht="15" thickBot="1" x14ac:dyDescent="0.4"/>
    <row r="2" spans="2:16" ht="70" customHeight="1" thickBot="1" x14ac:dyDescent="0.4">
      <c r="B2" s="83" t="s">
        <v>19</v>
      </c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2:16" ht="20" customHeight="1" thickBot="1" x14ac:dyDescent="0.4">
      <c r="B3" s="86" t="s">
        <v>11</v>
      </c>
      <c r="C3" s="66"/>
      <c r="D3" s="66"/>
      <c r="E3" s="66"/>
      <c r="F3" s="66"/>
      <c r="G3" s="66"/>
      <c r="H3" s="66"/>
      <c r="I3" s="66"/>
      <c r="J3" s="66"/>
      <c r="K3" s="66"/>
      <c r="L3" s="87"/>
    </row>
    <row r="4" spans="2:16" s="2" customFormat="1" ht="20" customHeight="1" x14ac:dyDescent="0.35">
      <c r="B4" s="40" t="s">
        <v>12</v>
      </c>
      <c r="C4" s="41"/>
      <c r="D4" s="41"/>
      <c r="E4" s="41"/>
      <c r="F4" s="41"/>
      <c r="G4" s="41"/>
      <c r="H4" s="41"/>
      <c r="I4" s="42"/>
      <c r="J4" s="8" t="s">
        <v>9</v>
      </c>
      <c r="K4" s="88" t="s">
        <v>8</v>
      </c>
      <c r="L4" s="89"/>
    </row>
    <row r="5" spans="2:16" s="1" customFormat="1" ht="20" customHeight="1" thickBot="1" x14ac:dyDescent="0.4">
      <c r="B5" s="90" t="s">
        <v>31</v>
      </c>
      <c r="C5" s="91"/>
      <c r="D5" s="91"/>
      <c r="E5" s="91"/>
      <c r="F5" s="91"/>
      <c r="G5" s="91"/>
      <c r="H5" s="91"/>
      <c r="I5" s="92"/>
      <c r="J5" s="7" t="s">
        <v>60</v>
      </c>
      <c r="K5" s="93">
        <v>45697</v>
      </c>
      <c r="L5" s="94"/>
      <c r="M5" s="3"/>
    </row>
    <row r="6" spans="2:16" ht="20" customHeight="1" thickBot="1" x14ac:dyDescent="0.4">
      <c r="B6" s="60" t="s">
        <v>13</v>
      </c>
      <c r="C6" s="61"/>
      <c r="D6" s="61"/>
      <c r="E6" s="61"/>
      <c r="F6" s="61"/>
      <c r="G6" s="61"/>
      <c r="H6" s="61"/>
      <c r="I6" s="61"/>
      <c r="J6" s="61"/>
      <c r="K6" s="61"/>
      <c r="L6" s="64"/>
    </row>
    <row r="7" spans="2:16" ht="20" customHeight="1" x14ac:dyDescent="0.35">
      <c r="B7" s="30" t="s">
        <v>16</v>
      </c>
      <c r="C7" s="65" t="s">
        <v>0</v>
      </c>
      <c r="D7" s="66"/>
      <c r="E7" s="67"/>
      <c r="F7" s="28" t="s">
        <v>4</v>
      </c>
      <c r="G7" s="28" t="s">
        <v>1</v>
      </c>
      <c r="H7" s="65" t="s">
        <v>5</v>
      </c>
      <c r="I7" s="67"/>
      <c r="J7" s="28" t="s">
        <v>21</v>
      </c>
      <c r="K7" s="28" t="s">
        <v>18</v>
      </c>
      <c r="L7" s="29" t="s">
        <v>17</v>
      </c>
      <c r="M7" s="1"/>
    </row>
    <row r="8" spans="2:16" s="10" customFormat="1" ht="20" customHeight="1" x14ac:dyDescent="0.35">
      <c r="B8" s="32">
        <v>1</v>
      </c>
      <c r="C8" s="68" t="s">
        <v>50</v>
      </c>
      <c r="D8" s="69"/>
      <c r="E8" s="70"/>
      <c r="F8" s="16" t="s">
        <v>34</v>
      </c>
      <c r="G8" s="16" t="s">
        <v>34</v>
      </c>
      <c r="H8" s="71" t="str">
        <f>+IFERROR(VLOOKUP(C8,Data!B:C,2,0),"")</f>
        <v>COST CONTROL SEMI SENIOR</v>
      </c>
      <c r="I8" s="71"/>
      <c r="J8" s="15" t="s">
        <v>38</v>
      </c>
      <c r="K8" s="27" t="str">
        <f>+IFERROR(VLOOKUP(J8,Data!M:O,2,0),"")</f>
        <v xml:space="preserve"> A111004</v>
      </c>
      <c r="L8" s="31" t="str">
        <f>+IFERROR(VLOOKUP(J8,Data!M:O,3,0),"")</f>
        <v xml:space="preserve"> TGGT-2509</v>
      </c>
    </row>
    <row r="9" spans="2:16" ht="20" customHeight="1" thickBot="1" x14ac:dyDescent="0.4">
      <c r="B9" s="72" t="s">
        <v>6</v>
      </c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2:16" ht="20" customHeight="1" thickBot="1" x14ac:dyDescent="0.4">
      <c r="B10" s="18" t="s">
        <v>16</v>
      </c>
      <c r="C10" s="19" t="s">
        <v>14</v>
      </c>
      <c r="D10" s="23" t="s">
        <v>22</v>
      </c>
      <c r="E10" s="23" t="s">
        <v>23</v>
      </c>
      <c r="F10" s="19" t="s">
        <v>4</v>
      </c>
      <c r="G10" s="19" t="s">
        <v>1</v>
      </c>
      <c r="H10" s="63" t="s">
        <v>5</v>
      </c>
      <c r="I10" s="62"/>
      <c r="J10" s="19" t="s">
        <v>21</v>
      </c>
      <c r="K10" s="19" t="s">
        <v>18</v>
      </c>
      <c r="L10" s="20" t="s">
        <v>17</v>
      </c>
      <c r="N10" s="20" t="s">
        <v>14</v>
      </c>
      <c r="O10" s="20" t="s">
        <v>28</v>
      </c>
      <c r="P10" s="20" t="s">
        <v>29</v>
      </c>
    </row>
    <row r="11" spans="2:16" s="10" customFormat="1" ht="20" customHeight="1" x14ac:dyDescent="0.35">
      <c r="B11" s="4"/>
      <c r="C11" s="24"/>
      <c r="D11" s="16"/>
      <c r="E11" s="16"/>
      <c r="F11" s="16"/>
      <c r="G11" s="16"/>
      <c r="H11" s="75"/>
      <c r="I11" s="76"/>
      <c r="J11" s="15"/>
      <c r="K11" s="21"/>
      <c r="L11" s="22"/>
      <c r="N11" s="12" t="str">
        <f>MID(C11,11,7)</f>
        <v/>
      </c>
      <c r="O11" s="13">
        <f>E11-D11</f>
        <v>0</v>
      </c>
      <c r="P11" s="13">
        <f>+O11</f>
        <v>0</v>
      </c>
    </row>
    <row r="12" spans="2:16" s="10" customFormat="1" ht="20" customHeight="1" thickBot="1" x14ac:dyDescent="0.4">
      <c r="B12" s="4"/>
      <c r="C12" s="24"/>
      <c r="D12" s="16"/>
      <c r="F12" s="16"/>
      <c r="G12" s="16"/>
      <c r="H12" s="75"/>
      <c r="I12" s="76"/>
      <c r="J12" s="15"/>
      <c r="K12" s="21"/>
      <c r="L12" s="22"/>
      <c r="N12" s="25"/>
      <c r="O12" s="26"/>
      <c r="P12" s="26"/>
    </row>
    <row r="13" spans="2:16" ht="20" customHeight="1" thickBot="1" x14ac:dyDescent="0.4">
      <c r="B13" s="60" t="s">
        <v>2</v>
      </c>
      <c r="C13" s="61"/>
      <c r="D13" s="61"/>
      <c r="E13" s="61"/>
      <c r="F13" s="61"/>
      <c r="G13" s="61"/>
      <c r="H13" s="61"/>
      <c r="I13" s="61"/>
      <c r="J13" s="61"/>
      <c r="K13" s="61"/>
      <c r="L13" s="64"/>
      <c r="N13" s="25" t="str">
        <f>MID(C13,11,7)</f>
        <v/>
      </c>
      <c r="O13" s="26"/>
      <c r="P13" s="26"/>
    </row>
    <row r="14" spans="2:16" ht="213.5" customHeight="1" x14ac:dyDescent="0.35">
      <c r="B14" s="77" t="s">
        <v>78</v>
      </c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2:16" ht="286" customHeight="1" thickBot="1" x14ac:dyDescent="0.4"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2:16" ht="20" customHeight="1" thickBot="1" x14ac:dyDescent="0.4">
      <c r="B16" s="60" t="s">
        <v>20</v>
      </c>
      <c r="C16" s="61"/>
      <c r="D16" s="61"/>
      <c r="E16" s="61"/>
      <c r="F16" s="61"/>
      <c r="G16" s="61"/>
      <c r="H16" s="62"/>
      <c r="I16" s="63" t="s">
        <v>30</v>
      </c>
      <c r="J16" s="61"/>
      <c r="K16" s="61"/>
      <c r="L16" s="64"/>
    </row>
    <row r="17" spans="2:12" ht="50" customHeight="1" x14ac:dyDescent="0.35">
      <c r="B17" s="40" t="s">
        <v>7</v>
      </c>
      <c r="C17" s="41"/>
      <c r="D17" s="41"/>
      <c r="E17" s="41"/>
      <c r="F17" s="41"/>
      <c r="G17" s="41"/>
      <c r="H17" s="42"/>
      <c r="I17" s="43" t="s">
        <v>7</v>
      </c>
      <c r="J17" s="41"/>
      <c r="K17" s="41"/>
      <c r="L17" s="44"/>
    </row>
    <row r="18" spans="2:12" ht="20" customHeight="1" x14ac:dyDescent="0.35">
      <c r="B18" s="45"/>
      <c r="C18" s="46"/>
      <c r="D18" s="46"/>
      <c r="E18" s="46"/>
      <c r="F18" s="46"/>
      <c r="G18" s="46"/>
      <c r="H18" s="47"/>
      <c r="I18" s="48"/>
      <c r="J18" s="46"/>
      <c r="K18" s="46"/>
      <c r="L18" s="49"/>
    </row>
    <row r="19" spans="2:12" ht="20" customHeight="1" x14ac:dyDescent="0.35">
      <c r="B19" s="50" t="s">
        <v>32</v>
      </c>
      <c r="C19" s="51"/>
      <c r="D19" s="51"/>
      <c r="E19" s="51"/>
      <c r="F19" s="51"/>
      <c r="G19" s="51"/>
      <c r="H19" s="52"/>
      <c r="I19" s="56" t="s">
        <v>10</v>
      </c>
      <c r="J19" s="51"/>
      <c r="K19" s="51"/>
      <c r="L19" s="57"/>
    </row>
    <row r="20" spans="2:12" ht="20" customHeight="1" thickBot="1" x14ac:dyDescent="0.4">
      <c r="B20" s="53"/>
      <c r="C20" s="54"/>
      <c r="D20" s="54"/>
      <c r="E20" s="54"/>
      <c r="F20" s="54"/>
      <c r="G20" s="54"/>
      <c r="H20" s="55"/>
      <c r="I20" s="58"/>
      <c r="J20" s="54"/>
      <c r="K20" s="54"/>
      <c r="L20" s="59"/>
    </row>
    <row r="21" spans="2:12" x14ac:dyDescent="0.35">
      <c r="B21" s="1"/>
    </row>
    <row r="22" spans="2:12" x14ac:dyDescent="0.35">
      <c r="B22" s="1"/>
    </row>
    <row r="23" spans="2:12" x14ac:dyDescent="0.35">
      <c r="B23" s="1"/>
    </row>
    <row r="24" spans="2:12" x14ac:dyDescent="0.35">
      <c r="B24" s="1"/>
    </row>
  </sheetData>
  <dataConsolidate link="1"/>
  <mergeCells count="25">
    <mergeCell ref="B2:L2"/>
    <mergeCell ref="B3:L3"/>
    <mergeCell ref="B4:I4"/>
    <mergeCell ref="K4:L4"/>
    <mergeCell ref="B5:I5"/>
    <mergeCell ref="K5:L5"/>
    <mergeCell ref="B16:H16"/>
    <mergeCell ref="I16:L16"/>
    <mergeCell ref="B6:L6"/>
    <mergeCell ref="C7:E7"/>
    <mergeCell ref="H7:I7"/>
    <mergeCell ref="C8:E8"/>
    <mergeCell ref="H8:I8"/>
    <mergeCell ref="B9:L9"/>
    <mergeCell ref="H10:I10"/>
    <mergeCell ref="H11:I11"/>
    <mergeCell ref="H12:I12"/>
    <mergeCell ref="B13:L13"/>
    <mergeCell ref="B14:L15"/>
    <mergeCell ref="B17:H17"/>
    <mergeCell ref="I17:L17"/>
    <mergeCell ref="B18:H18"/>
    <mergeCell ref="I18:L18"/>
    <mergeCell ref="B19:H20"/>
    <mergeCell ref="I19:L20"/>
  </mergeCells>
  <pageMargins left="0.7" right="0.7" top="0.75" bottom="0.75" header="0.3" footer="0.3"/>
  <pageSetup paperSize="9" scale="45" orientation="portrait" cellComments="atEnd" r:id="rId1"/>
  <headerFooter>
    <oddFooter>&amp;C&amp;1#&amp;"Calibri"&amp;11&amp;K000000BV_C2_Internal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22E3A5F-2579-4F60-B64E-83B8FB8D9570}">
          <x14:formula1>
            <xm:f>Data!$B$4:$B$29</xm:f>
          </x14:formula1>
          <xm:sqref>C8</xm:sqref>
        </x14:dataValidation>
        <x14:dataValidation type="list" allowBlank="1" showInputMessage="1" showErrorMessage="1" xr:uid="{56FF0A1A-E6E9-48FD-8A3D-87C5128EB20D}">
          <x14:formula1>
            <xm:f>Data!$F$4:$F$23</xm:f>
          </x14:formula1>
          <xm:sqref>C11:C12</xm:sqref>
        </x14:dataValidation>
        <x14:dataValidation type="list" allowBlank="1" showInputMessage="1" showErrorMessage="1" xr:uid="{1F2ECEE3-9C48-455D-91F3-9824212E8AA8}">
          <x14:formula1>
            <xm:f>Data!$G$4:$G$22</xm:f>
          </x14:formula1>
          <xm:sqref>H11:I12</xm:sqref>
        </x14:dataValidation>
        <x14:dataValidation type="list" allowBlank="1" showInputMessage="1" showErrorMessage="1" xr:uid="{7B56A7FA-4EB8-4BDE-A8E9-CC00C57A0BA0}">
          <x14:formula1>
            <xm:f>Data!$J$4:$J$70</xm:f>
          </x14:formula1>
          <xm:sqref>F12:G12 F8:G8</xm:sqref>
        </x14:dataValidation>
        <x14:dataValidation type="list" allowBlank="1" showInputMessage="1" showErrorMessage="1" xr:uid="{70461987-42AC-46B3-9B20-0AAEBE380498}">
          <x14:formula1>
            <xm:f>Data!$J$4:$J$75</xm:f>
          </x14:formula1>
          <xm:sqref>F11:G11</xm:sqref>
        </x14:dataValidation>
        <x14:dataValidation type="list" allowBlank="1" showInputMessage="1" showErrorMessage="1" xr:uid="{ADABA102-1359-4101-B23F-6B60CF4C813A}">
          <x14:formula1>
            <xm:f>Data!$M$4:$M$39</xm:f>
          </x14:formula1>
          <xm:sqref>J11:J12 J8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118C-FCAA-44B2-9508-9E9A44805885}">
  <sheetPr codeName="Hoja1354">
    <pageSetUpPr fitToPage="1"/>
  </sheetPr>
  <dimension ref="B1:T25"/>
  <sheetViews>
    <sheetView showGridLines="0" tabSelected="1" zoomScale="70" zoomScaleNormal="70" zoomScaleSheetLayoutView="85" zoomScalePageLayoutView="110" workbookViewId="0">
      <selection activeCell="M6" sqref="M6"/>
    </sheetView>
  </sheetViews>
  <sheetFormatPr baseColWidth="10" defaultColWidth="9.1796875" defaultRowHeight="14.5" x14ac:dyDescent="0.35"/>
  <cols>
    <col min="1" max="1" width="3" style="35" customWidth="1"/>
    <col min="2" max="2" width="4.81640625" style="35" customWidth="1"/>
    <col min="3" max="3" width="34.1796875" style="35" customWidth="1"/>
    <col min="4" max="5" width="11.453125" style="35" customWidth="1"/>
    <col min="6" max="6" width="12.81640625" style="35" customWidth="1"/>
    <col min="7" max="7" width="15.54296875" style="35" customWidth="1"/>
    <col min="8" max="8" width="15.81640625" style="35" customWidth="1"/>
    <col min="9" max="9" width="22.81640625" style="35" customWidth="1"/>
    <col min="10" max="10" width="34.453125" style="35" customWidth="1"/>
    <col min="11" max="11" width="13.81640625" style="35" customWidth="1"/>
    <col min="12" max="12" width="21.08984375" style="35" customWidth="1"/>
    <col min="13" max="13" width="5.1796875" style="35" customWidth="1"/>
    <col min="14" max="14" width="11.81640625" style="35" customWidth="1"/>
    <col min="15" max="15" width="15.453125" style="35" customWidth="1"/>
    <col min="16" max="16" width="14.1796875" style="35" customWidth="1"/>
    <col min="17" max="17" width="9.1796875" style="35"/>
    <col min="18" max="18" width="9.1796875" style="35" customWidth="1"/>
    <col min="19" max="16384" width="9.1796875" style="35"/>
  </cols>
  <sheetData>
    <row r="1" spans="2:20" ht="15" thickBot="1" x14ac:dyDescent="0.4"/>
    <row r="2" spans="2:20" ht="70" customHeight="1" thickBot="1" x14ac:dyDescent="0.4">
      <c r="B2" s="83" t="s">
        <v>19</v>
      </c>
      <c r="C2" s="84"/>
      <c r="D2" s="84"/>
      <c r="E2" s="84"/>
      <c r="F2" s="84"/>
      <c r="G2" s="84"/>
      <c r="H2" s="84"/>
      <c r="I2" s="84"/>
      <c r="J2" s="84"/>
      <c r="K2" s="84"/>
      <c r="L2" s="85"/>
    </row>
    <row r="3" spans="2:20" ht="20" customHeight="1" thickBot="1" x14ac:dyDescent="0.4">
      <c r="B3" s="86" t="s">
        <v>11</v>
      </c>
      <c r="C3" s="66"/>
      <c r="D3" s="66"/>
      <c r="E3" s="66"/>
      <c r="F3" s="66"/>
      <c r="G3" s="66"/>
      <c r="H3" s="66"/>
      <c r="I3" s="66"/>
      <c r="J3" s="66"/>
      <c r="K3" s="66"/>
      <c r="L3" s="87"/>
    </row>
    <row r="4" spans="2:20" s="2" customFormat="1" ht="20" customHeight="1" x14ac:dyDescent="0.35">
      <c r="B4" s="40" t="s">
        <v>12</v>
      </c>
      <c r="C4" s="41"/>
      <c r="D4" s="41"/>
      <c r="E4" s="41"/>
      <c r="F4" s="41"/>
      <c r="G4" s="41"/>
      <c r="H4" s="41"/>
      <c r="I4" s="42"/>
      <c r="J4" s="8" t="s">
        <v>9</v>
      </c>
      <c r="K4" s="88" t="s">
        <v>8</v>
      </c>
      <c r="L4" s="89"/>
    </row>
    <row r="5" spans="2:20" s="1" customFormat="1" ht="20" customHeight="1" thickBot="1" x14ac:dyDescent="0.4">
      <c r="B5" s="90" t="s">
        <v>31</v>
      </c>
      <c r="C5" s="91"/>
      <c r="D5" s="91"/>
      <c r="E5" s="91"/>
      <c r="F5" s="91"/>
      <c r="G5" s="91"/>
      <c r="H5" s="91"/>
      <c r="I5" s="92"/>
      <c r="J5" s="7"/>
      <c r="K5" s="93"/>
      <c r="L5" s="94"/>
      <c r="M5" s="3"/>
    </row>
    <row r="6" spans="2:20" ht="20" customHeight="1" thickBot="1" x14ac:dyDescent="0.4">
      <c r="B6" s="60" t="s">
        <v>13</v>
      </c>
      <c r="C6" s="61"/>
      <c r="D6" s="61"/>
      <c r="E6" s="61"/>
      <c r="F6" s="61"/>
      <c r="G6" s="61"/>
      <c r="H6" s="61"/>
      <c r="I6" s="61"/>
      <c r="J6" s="61"/>
      <c r="K6" s="61"/>
      <c r="L6" s="64"/>
    </row>
    <row r="7" spans="2:20" ht="20" customHeight="1" x14ac:dyDescent="0.35">
      <c r="B7" s="30" t="s">
        <v>16</v>
      </c>
      <c r="C7" s="65" t="s">
        <v>0</v>
      </c>
      <c r="D7" s="66"/>
      <c r="E7" s="67"/>
      <c r="F7" s="28" t="s">
        <v>4</v>
      </c>
      <c r="G7" s="28" t="s">
        <v>1</v>
      </c>
      <c r="H7" s="65" t="s">
        <v>5</v>
      </c>
      <c r="I7" s="67"/>
      <c r="J7" s="28" t="s">
        <v>21</v>
      </c>
      <c r="K7" s="28" t="s">
        <v>18</v>
      </c>
      <c r="L7" s="29" t="s">
        <v>17</v>
      </c>
      <c r="M7" s="1"/>
      <c r="P7" s="35" t="s">
        <v>128</v>
      </c>
      <c r="R7" s="35" t="s">
        <v>128</v>
      </c>
    </row>
    <row r="8" spans="2:20" ht="20" customHeight="1" x14ac:dyDescent="0.35">
      <c r="B8" s="32">
        <v>1</v>
      </c>
      <c r="C8" s="37"/>
      <c r="D8" s="38"/>
      <c r="E8" s="39"/>
      <c r="F8" s="16"/>
      <c r="G8" s="16"/>
      <c r="H8" s="71"/>
      <c r="I8" s="71"/>
      <c r="J8" s="6"/>
      <c r="K8" s="11"/>
      <c r="L8" s="11"/>
      <c r="M8" s="1"/>
    </row>
    <row r="9" spans="2:20" ht="20" customHeight="1" thickBot="1" x14ac:dyDescent="0.4">
      <c r="B9" s="72" t="s">
        <v>6</v>
      </c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2:20" ht="20" customHeight="1" thickBot="1" x14ac:dyDescent="0.4">
      <c r="B10" s="18" t="s">
        <v>16</v>
      </c>
      <c r="C10" s="19" t="s">
        <v>14</v>
      </c>
      <c r="D10" s="36" t="s">
        <v>22</v>
      </c>
      <c r="E10" s="36" t="s">
        <v>23</v>
      </c>
      <c r="F10" s="19" t="s">
        <v>4</v>
      </c>
      <c r="G10" s="19" t="s">
        <v>1</v>
      </c>
      <c r="H10" s="63" t="s">
        <v>5</v>
      </c>
      <c r="I10" s="62"/>
      <c r="J10" s="19" t="s">
        <v>21</v>
      </c>
      <c r="K10" s="19" t="s">
        <v>18</v>
      </c>
      <c r="L10" s="20" t="s">
        <v>17</v>
      </c>
      <c r="N10" s="20" t="s">
        <v>14</v>
      </c>
      <c r="O10" s="20" t="s">
        <v>28</v>
      </c>
      <c r="P10" s="20" t="s">
        <v>29</v>
      </c>
      <c r="T10" s="35" t="s">
        <v>128</v>
      </c>
    </row>
    <row r="11" spans="2:20" ht="20" customHeight="1" x14ac:dyDescent="0.35">
      <c r="B11" s="4">
        <v>1</v>
      </c>
      <c r="C11" s="24"/>
      <c r="D11" s="34"/>
      <c r="E11" s="34"/>
      <c r="F11" s="16"/>
      <c r="G11" s="16"/>
      <c r="H11" s="75"/>
      <c r="I11" s="76"/>
      <c r="J11" s="6"/>
      <c r="K11" s="11"/>
      <c r="L11" s="11"/>
      <c r="N11" s="12"/>
      <c r="O11" s="13"/>
      <c r="P11" s="13"/>
    </row>
    <row r="12" spans="2:20" s="10" customFormat="1" ht="20" customHeight="1" thickBot="1" x14ac:dyDescent="0.4">
      <c r="B12" s="4">
        <v>1</v>
      </c>
      <c r="C12" s="24"/>
      <c r="D12" s="16"/>
      <c r="F12" s="16"/>
      <c r="G12" s="16"/>
      <c r="H12" s="75"/>
      <c r="I12" s="76"/>
      <c r="J12" s="6"/>
      <c r="K12" s="11"/>
      <c r="L12" s="11"/>
      <c r="N12" s="25"/>
      <c r="O12" s="26"/>
      <c r="P12" s="26"/>
      <c r="S12" s="10" t="s">
        <v>128</v>
      </c>
    </row>
    <row r="13" spans="2:20" ht="20" customHeight="1" thickBot="1" x14ac:dyDescent="0.4">
      <c r="B13" s="60" t="s">
        <v>2</v>
      </c>
      <c r="C13" s="61"/>
      <c r="D13" s="61"/>
      <c r="E13" s="61"/>
      <c r="F13" s="61"/>
      <c r="G13" s="95"/>
      <c r="H13" s="61"/>
      <c r="I13" s="61"/>
      <c r="J13" s="61"/>
      <c r="K13" s="61"/>
      <c r="L13" s="64"/>
    </row>
    <row r="14" spans="2:20" ht="43.75" customHeight="1" x14ac:dyDescent="0.35"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  <c r="R14" s="35" t="s">
        <v>128</v>
      </c>
    </row>
    <row r="15" spans="2:20" ht="252.65" customHeight="1" thickBot="1" x14ac:dyDescent="0.4"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2:20" ht="20" customHeight="1" thickBot="1" x14ac:dyDescent="0.4">
      <c r="B16" s="60" t="s">
        <v>20</v>
      </c>
      <c r="C16" s="61"/>
      <c r="D16" s="61"/>
      <c r="E16" s="61"/>
      <c r="F16" s="61"/>
      <c r="G16" s="61"/>
      <c r="H16" s="62"/>
      <c r="I16" s="63" t="s">
        <v>30</v>
      </c>
      <c r="J16" s="61"/>
      <c r="K16" s="61"/>
      <c r="L16" s="64"/>
    </row>
    <row r="17" spans="2:12" ht="50" customHeight="1" x14ac:dyDescent="0.35">
      <c r="B17" s="40" t="s">
        <v>7</v>
      </c>
      <c r="C17" s="41"/>
      <c r="D17" s="41"/>
      <c r="E17" s="41"/>
      <c r="F17" s="41"/>
      <c r="G17" s="41"/>
      <c r="H17" s="42"/>
      <c r="I17" s="43" t="s">
        <v>7</v>
      </c>
      <c r="J17" s="41"/>
      <c r="K17" s="41"/>
      <c r="L17" s="44"/>
    </row>
    <row r="18" spans="2:12" ht="20" customHeight="1" x14ac:dyDescent="0.35">
      <c r="B18" s="45"/>
      <c r="C18" s="46"/>
      <c r="D18" s="46"/>
      <c r="E18" s="46"/>
      <c r="F18" s="46"/>
      <c r="G18" s="46"/>
      <c r="H18" s="47"/>
      <c r="I18" s="48"/>
      <c r="J18" s="46"/>
      <c r="K18" s="46"/>
      <c r="L18" s="49"/>
    </row>
    <row r="19" spans="2:12" ht="20" customHeight="1" x14ac:dyDescent="0.35">
      <c r="B19" s="50" t="s">
        <v>104</v>
      </c>
      <c r="C19" s="51"/>
      <c r="D19" s="51"/>
      <c r="E19" s="51"/>
      <c r="F19" s="51"/>
      <c r="G19" s="51"/>
      <c r="H19" s="52"/>
      <c r="I19" s="56" t="s">
        <v>10</v>
      </c>
      <c r="J19" s="51"/>
      <c r="K19" s="51"/>
      <c r="L19" s="57"/>
    </row>
    <row r="20" spans="2:12" ht="20" customHeight="1" thickBot="1" x14ac:dyDescent="0.4">
      <c r="B20" s="53"/>
      <c r="C20" s="54"/>
      <c r="D20" s="54"/>
      <c r="E20" s="54"/>
      <c r="F20" s="54"/>
      <c r="G20" s="54"/>
      <c r="H20" s="55"/>
      <c r="I20" s="58"/>
      <c r="J20" s="54"/>
      <c r="K20" s="54"/>
      <c r="L20" s="59"/>
    </row>
    <row r="21" spans="2:12" x14ac:dyDescent="0.35">
      <c r="B21" s="1"/>
    </row>
    <row r="22" spans="2:12" x14ac:dyDescent="0.35">
      <c r="B22" s="1"/>
    </row>
    <row r="23" spans="2:12" x14ac:dyDescent="0.35">
      <c r="B23" s="1"/>
    </row>
    <row r="24" spans="2:12" x14ac:dyDescent="0.35">
      <c r="B24" s="1"/>
    </row>
    <row r="25" spans="2:12" x14ac:dyDescent="0.35">
      <c r="B25" s="1"/>
    </row>
  </sheetData>
  <dataConsolidate/>
  <mergeCells count="24">
    <mergeCell ref="B17:H17"/>
    <mergeCell ref="I17:L17"/>
    <mergeCell ref="B18:H18"/>
    <mergeCell ref="I18:L18"/>
    <mergeCell ref="B19:H20"/>
    <mergeCell ref="I19:L20"/>
    <mergeCell ref="H11:I11"/>
    <mergeCell ref="H12:I12"/>
    <mergeCell ref="B13:L13"/>
    <mergeCell ref="B14:L15"/>
    <mergeCell ref="B16:H16"/>
    <mergeCell ref="I16:L16"/>
    <mergeCell ref="H10:I10"/>
    <mergeCell ref="B2:L2"/>
    <mergeCell ref="B3:L3"/>
    <mergeCell ref="B4:I4"/>
    <mergeCell ref="K4:L4"/>
    <mergeCell ref="B5:I5"/>
    <mergeCell ref="K5:L5"/>
    <mergeCell ref="B6:L6"/>
    <mergeCell ref="C7:E7"/>
    <mergeCell ref="H7:I7"/>
    <mergeCell ref="H8:I8"/>
    <mergeCell ref="B9:L9"/>
  </mergeCells>
  <pageMargins left="0.7" right="0.7" top="0.75" bottom="0.75" header="0.3" footer="0.3"/>
  <pageSetup paperSize="9" scale="44" orientation="portrait" cellComments="atEnd" r:id="rId1"/>
  <headerFooter>
    <oddFooter>&amp;C&amp;1#&amp;"Calibri"&amp;11&amp;K000000BV_C2_Internal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FC92068-CED7-47C0-B405-E16FF6E0AAAE}">
          <x14:formula1>
            <xm:f>Data!$B$4:$B$29</xm:f>
          </x14:formula1>
          <xm:sqref>C8</xm:sqref>
        </x14:dataValidation>
        <x14:dataValidation type="list" allowBlank="1" showInputMessage="1" showErrorMessage="1" xr:uid="{909392DD-E137-42C3-AA0F-D74B4602E48D}">
          <x14:formula1>
            <xm:f>Data!$F$4:$F$23</xm:f>
          </x14:formula1>
          <xm:sqref>C11:C12</xm:sqref>
        </x14:dataValidation>
        <x14:dataValidation type="list" allowBlank="1" showInputMessage="1" showErrorMessage="1" xr:uid="{0E588250-5859-4157-B8DB-C21E0419F516}">
          <x14:formula1>
            <xm:f>Data!$G$4:$G$22</xm:f>
          </x14:formula1>
          <xm:sqref>H11:I12</xm:sqref>
        </x14:dataValidation>
        <x14:dataValidation type="list" allowBlank="1" showInputMessage="1" showErrorMessage="1" xr:uid="{3F78F24A-2FB9-4DF7-B276-EFFFD0904994}">
          <x14:formula1>
            <xm:f>Data!$J$4:$J$75</xm:f>
          </x14:formula1>
          <xm:sqref>F8:G8 F11:G12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19"/>
  <dimension ref="A3:O104"/>
  <sheetViews>
    <sheetView showGridLines="0" zoomScale="70" zoomScaleNormal="70" workbookViewId="0">
      <selection activeCell="P64" sqref="P64"/>
    </sheetView>
  </sheetViews>
  <sheetFormatPr baseColWidth="10" defaultColWidth="9.1796875" defaultRowHeight="14.5" x14ac:dyDescent="0.35"/>
  <cols>
    <col min="1" max="1" width="4.453125" customWidth="1"/>
    <col min="2" max="2" width="35.54296875" customWidth="1"/>
    <col min="3" max="3" width="42.1796875" bestFit="1" customWidth="1"/>
    <col min="4" max="4" width="4.453125" customWidth="1"/>
    <col min="5" max="5" width="3.54296875" customWidth="1"/>
    <col min="6" max="6" width="32.1796875" bestFit="1" customWidth="1"/>
    <col min="7" max="7" width="40.1796875" bestFit="1" customWidth="1"/>
    <col min="8" max="8" width="4.54296875" customWidth="1"/>
    <col min="9" max="9" width="3.54296875" customWidth="1"/>
    <col min="10" max="10" width="16.81640625" bestFit="1" customWidth="1"/>
    <col min="11" max="11" width="4.453125" customWidth="1"/>
    <col min="12" max="12" width="3.54296875" customWidth="1"/>
    <col min="13" max="13" width="29" bestFit="1" customWidth="1"/>
    <col min="14" max="14" width="14" customWidth="1"/>
    <col min="15" max="15" width="14.81640625" customWidth="1"/>
  </cols>
  <sheetData>
    <row r="3" spans="1:15" ht="29.5" customHeight="1" x14ac:dyDescent="0.35">
      <c r="A3" s="5" t="s">
        <v>3</v>
      </c>
      <c r="B3" s="5" t="s">
        <v>24</v>
      </c>
      <c r="C3" s="5" t="s">
        <v>26</v>
      </c>
      <c r="E3" s="5" t="s">
        <v>3</v>
      </c>
      <c r="F3" s="5" t="s">
        <v>6</v>
      </c>
      <c r="G3" s="5" t="s">
        <v>25</v>
      </c>
      <c r="I3" s="5" t="s">
        <v>3</v>
      </c>
      <c r="J3" s="9" t="s">
        <v>27</v>
      </c>
      <c r="L3" s="5" t="s">
        <v>3</v>
      </c>
      <c r="M3" s="5" t="s">
        <v>15</v>
      </c>
      <c r="N3" s="5" t="s">
        <v>18</v>
      </c>
      <c r="O3" s="5" t="s">
        <v>17</v>
      </c>
    </row>
    <row r="4" spans="1:15" x14ac:dyDescent="0.35">
      <c r="A4" s="6">
        <v>1</v>
      </c>
      <c r="B4" s="6" t="s">
        <v>47</v>
      </c>
      <c r="C4" s="6" t="s">
        <v>48</v>
      </c>
      <c r="E4" s="6">
        <v>1</v>
      </c>
      <c r="F4" s="6" t="s">
        <v>84</v>
      </c>
      <c r="G4" s="6" t="s">
        <v>114</v>
      </c>
      <c r="I4" s="6">
        <v>1</v>
      </c>
      <c r="J4" s="6" t="s">
        <v>36</v>
      </c>
      <c r="L4" s="6">
        <v>1</v>
      </c>
      <c r="M4" s="6" t="s">
        <v>37</v>
      </c>
      <c r="N4" s="11" t="s">
        <v>76</v>
      </c>
      <c r="O4" s="11" t="s">
        <v>77</v>
      </c>
    </row>
    <row r="5" spans="1:15" x14ac:dyDescent="0.35">
      <c r="A5" s="6">
        <f>+A4+1</f>
        <v>2</v>
      </c>
      <c r="B5" s="6" t="s">
        <v>49</v>
      </c>
      <c r="C5" s="6" t="s">
        <v>48</v>
      </c>
      <c r="E5" s="6">
        <f>+E4+1</f>
        <v>2</v>
      </c>
      <c r="F5" s="6" t="s">
        <v>83</v>
      </c>
      <c r="G5" s="6" t="s">
        <v>40</v>
      </c>
      <c r="I5" s="6">
        <f>+I4+1</f>
        <v>2</v>
      </c>
      <c r="J5" s="6" t="s">
        <v>34</v>
      </c>
      <c r="L5" s="6">
        <f>+L4+1</f>
        <v>2</v>
      </c>
      <c r="M5" s="6" t="s">
        <v>38</v>
      </c>
      <c r="N5" s="11" t="s">
        <v>74</v>
      </c>
      <c r="O5" s="11" t="s">
        <v>75</v>
      </c>
    </row>
    <row r="6" spans="1:15" x14ac:dyDescent="0.35">
      <c r="A6" s="6">
        <f t="shared" ref="A6:A41" si="0">+A5+1</f>
        <v>3</v>
      </c>
      <c r="B6" s="6" t="s">
        <v>53</v>
      </c>
      <c r="C6" s="6" t="s">
        <v>44</v>
      </c>
      <c r="E6" s="6">
        <v>3</v>
      </c>
      <c r="F6" s="6" t="s">
        <v>113</v>
      </c>
      <c r="G6" s="6" t="s">
        <v>114</v>
      </c>
      <c r="I6" s="6">
        <f>+I5+1</f>
        <v>3</v>
      </c>
      <c r="J6" s="6" t="s">
        <v>41</v>
      </c>
      <c r="L6" s="6">
        <f>+L5+1</f>
        <v>3</v>
      </c>
      <c r="M6" s="6" t="s">
        <v>80</v>
      </c>
      <c r="N6" s="11">
        <v>6343015</v>
      </c>
      <c r="O6" s="11" t="s">
        <v>81</v>
      </c>
    </row>
    <row r="7" spans="1:15" x14ac:dyDescent="0.35">
      <c r="A7" s="6">
        <f t="shared" si="0"/>
        <v>4</v>
      </c>
      <c r="B7" s="6" t="s">
        <v>66</v>
      </c>
      <c r="C7" s="6" t="s">
        <v>44</v>
      </c>
      <c r="E7" s="6">
        <v>4</v>
      </c>
      <c r="F7" s="6" t="s">
        <v>124</v>
      </c>
      <c r="G7" s="6" t="s">
        <v>114</v>
      </c>
      <c r="I7" s="6">
        <f t="shared" ref="I7:I15" si="1">+I6+1</f>
        <v>4</v>
      </c>
      <c r="J7" s="6" t="s">
        <v>42</v>
      </c>
      <c r="L7" s="6">
        <f t="shared" ref="L7:L54" si="2">+L6+1</f>
        <v>4</v>
      </c>
      <c r="M7" s="6" t="s">
        <v>82</v>
      </c>
      <c r="N7" s="11">
        <v>6343002</v>
      </c>
      <c r="O7" s="17" t="s">
        <v>39</v>
      </c>
    </row>
    <row r="8" spans="1:15" x14ac:dyDescent="0.35">
      <c r="A8" s="6">
        <f t="shared" si="0"/>
        <v>5</v>
      </c>
      <c r="B8" s="6" t="s">
        <v>45</v>
      </c>
      <c r="C8" s="6" t="s">
        <v>33</v>
      </c>
      <c r="E8" s="6">
        <v>5</v>
      </c>
      <c r="F8" s="6" t="s">
        <v>131</v>
      </c>
      <c r="G8" s="6" t="s">
        <v>114</v>
      </c>
      <c r="I8" s="6">
        <f t="shared" si="1"/>
        <v>5</v>
      </c>
      <c r="J8" s="6" t="s">
        <v>63</v>
      </c>
      <c r="L8" s="6">
        <f t="shared" si="2"/>
        <v>5</v>
      </c>
      <c r="M8" s="6" t="s">
        <v>85</v>
      </c>
      <c r="N8" s="11">
        <v>6343015</v>
      </c>
      <c r="O8" s="11" t="s">
        <v>81</v>
      </c>
    </row>
    <row r="9" spans="1:15" x14ac:dyDescent="0.35">
      <c r="A9" s="6">
        <f t="shared" si="0"/>
        <v>6</v>
      </c>
      <c r="B9" s="6" t="s">
        <v>46</v>
      </c>
      <c r="C9" s="6" t="s">
        <v>33</v>
      </c>
      <c r="E9" s="6">
        <v>6</v>
      </c>
      <c r="F9" s="6" t="s">
        <v>135</v>
      </c>
      <c r="G9" s="6" t="s">
        <v>114</v>
      </c>
      <c r="I9" s="6">
        <f t="shared" si="1"/>
        <v>6</v>
      </c>
      <c r="J9" s="6" t="s">
        <v>43</v>
      </c>
      <c r="L9" s="6">
        <f t="shared" si="2"/>
        <v>6</v>
      </c>
      <c r="M9" s="6" t="s">
        <v>89</v>
      </c>
      <c r="N9" s="17">
        <v>6343016</v>
      </c>
      <c r="O9" s="11" t="s">
        <v>39</v>
      </c>
    </row>
    <row r="10" spans="1:15" x14ac:dyDescent="0.35">
      <c r="A10" s="6">
        <f t="shared" si="0"/>
        <v>7</v>
      </c>
      <c r="B10" s="6" t="s">
        <v>52</v>
      </c>
      <c r="C10" s="6" t="s">
        <v>33</v>
      </c>
      <c r="E10" s="6">
        <v>7</v>
      </c>
      <c r="F10" s="6" t="s">
        <v>152</v>
      </c>
      <c r="G10" s="6" t="s">
        <v>114</v>
      </c>
      <c r="I10" s="6">
        <f t="shared" si="1"/>
        <v>7</v>
      </c>
      <c r="J10" s="6" t="s">
        <v>69</v>
      </c>
      <c r="L10" s="6">
        <f t="shared" si="2"/>
        <v>7</v>
      </c>
      <c r="M10" s="6" t="s">
        <v>115</v>
      </c>
      <c r="N10" s="11">
        <v>6343015</v>
      </c>
      <c r="O10" s="33" t="s">
        <v>117</v>
      </c>
    </row>
    <row r="11" spans="1:15" x14ac:dyDescent="0.35">
      <c r="A11" s="6">
        <f t="shared" si="0"/>
        <v>8</v>
      </c>
      <c r="B11" s="6" t="s">
        <v>54</v>
      </c>
      <c r="C11" s="6" t="s">
        <v>33</v>
      </c>
      <c r="E11" s="6">
        <v>8</v>
      </c>
      <c r="F11" s="6" t="s">
        <v>155</v>
      </c>
      <c r="G11" s="6" t="s">
        <v>114</v>
      </c>
      <c r="I11" s="6">
        <f t="shared" si="1"/>
        <v>8</v>
      </c>
      <c r="J11" s="6" t="s">
        <v>35</v>
      </c>
      <c r="L11" s="6">
        <f t="shared" si="2"/>
        <v>8</v>
      </c>
      <c r="M11" s="6" t="s">
        <v>118</v>
      </c>
      <c r="N11" s="11">
        <v>6343015</v>
      </c>
      <c r="O11" s="33" t="s">
        <v>119</v>
      </c>
    </row>
    <row r="12" spans="1:15" x14ac:dyDescent="0.35">
      <c r="A12" s="6">
        <f t="shared" si="0"/>
        <v>9</v>
      </c>
      <c r="B12" s="6" t="s">
        <v>55</v>
      </c>
      <c r="C12" s="6" t="s">
        <v>33</v>
      </c>
      <c r="E12" s="6">
        <v>9</v>
      </c>
      <c r="F12" s="6" t="s">
        <v>159</v>
      </c>
      <c r="G12" s="6" t="s">
        <v>114</v>
      </c>
      <c r="I12" s="6">
        <f t="shared" si="1"/>
        <v>9</v>
      </c>
      <c r="J12" s="6" t="s">
        <v>160</v>
      </c>
      <c r="L12" s="6">
        <f t="shared" si="2"/>
        <v>9</v>
      </c>
      <c r="M12" s="6" t="s">
        <v>125</v>
      </c>
      <c r="N12" s="11">
        <v>6343015</v>
      </c>
      <c r="O12" s="11" t="s">
        <v>129</v>
      </c>
    </row>
    <row r="13" spans="1:15" x14ac:dyDescent="0.35">
      <c r="A13" s="6">
        <f t="shared" si="0"/>
        <v>10</v>
      </c>
      <c r="B13" s="6" t="s">
        <v>56</v>
      </c>
      <c r="C13" s="6" t="s">
        <v>33</v>
      </c>
      <c r="E13" s="6">
        <v>10</v>
      </c>
      <c r="F13" s="6" t="s">
        <v>161</v>
      </c>
      <c r="G13" s="6" t="s">
        <v>114</v>
      </c>
      <c r="I13" s="6">
        <f t="shared" si="1"/>
        <v>10</v>
      </c>
      <c r="J13" s="6" t="s">
        <v>86</v>
      </c>
      <c r="L13" s="6">
        <f t="shared" si="2"/>
        <v>10</v>
      </c>
      <c r="M13" s="6" t="s">
        <v>130</v>
      </c>
      <c r="N13" s="11">
        <v>6343020</v>
      </c>
      <c r="O13" s="11" t="s">
        <v>146</v>
      </c>
    </row>
    <row r="14" spans="1:15" x14ac:dyDescent="0.35">
      <c r="A14" s="6">
        <f t="shared" si="0"/>
        <v>11</v>
      </c>
      <c r="B14" s="6" t="s">
        <v>57</v>
      </c>
      <c r="C14" s="6" t="s">
        <v>33</v>
      </c>
      <c r="E14" s="6">
        <v>11</v>
      </c>
      <c r="F14" s="6" t="s">
        <v>163</v>
      </c>
      <c r="G14" s="6" t="s">
        <v>114</v>
      </c>
      <c r="I14" s="6">
        <f t="shared" si="1"/>
        <v>11</v>
      </c>
      <c r="J14" s="6" t="s">
        <v>87</v>
      </c>
      <c r="L14" s="6">
        <f t="shared" si="2"/>
        <v>11</v>
      </c>
      <c r="M14" s="6" t="s">
        <v>132</v>
      </c>
      <c r="N14" s="11">
        <v>6343015</v>
      </c>
      <c r="O14" s="11" t="s">
        <v>149</v>
      </c>
    </row>
    <row r="15" spans="1:15" x14ac:dyDescent="0.35">
      <c r="A15" s="6">
        <f t="shared" si="0"/>
        <v>12</v>
      </c>
      <c r="B15" s="6" t="s">
        <v>58</v>
      </c>
      <c r="C15" s="6" t="s">
        <v>48</v>
      </c>
      <c r="E15" s="6">
        <v>12</v>
      </c>
      <c r="F15" s="6" t="s">
        <v>166</v>
      </c>
      <c r="G15" s="6"/>
      <c r="I15" s="6">
        <f t="shared" si="1"/>
        <v>12</v>
      </c>
      <c r="J15" s="6" t="s">
        <v>88</v>
      </c>
      <c r="L15" s="6">
        <f t="shared" si="2"/>
        <v>12</v>
      </c>
      <c r="M15" s="6" t="s">
        <v>133</v>
      </c>
      <c r="N15" s="11">
        <v>6343020</v>
      </c>
      <c r="O15" s="11" t="s">
        <v>147</v>
      </c>
    </row>
    <row r="16" spans="1:15" x14ac:dyDescent="0.35">
      <c r="A16" s="6">
        <f t="shared" si="0"/>
        <v>13</v>
      </c>
      <c r="B16" s="6" t="s">
        <v>59</v>
      </c>
      <c r="C16" s="6" t="s">
        <v>33</v>
      </c>
      <c r="E16" s="6">
        <v>13</v>
      </c>
      <c r="F16" s="6" t="s">
        <v>169</v>
      </c>
      <c r="G16" s="6" t="s">
        <v>114</v>
      </c>
      <c r="I16" s="6">
        <v>13</v>
      </c>
      <c r="J16" s="6" t="s">
        <v>90</v>
      </c>
      <c r="L16" s="6">
        <f t="shared" si="2"/>
        <v>13</v>
      </c>
      <c r="M16" t="s">
        <v>150</v>
      </c>
      <c r="N16" s="11">
        <v>6343015</v>
      </c>
      <c r="O16" s="11" t="s">
        <v>151</v>
      </c>
    </row>
    <row r="17" spans="1:15" x14ac:dyDescent="0.35">
      <c r="A17" s="6">
        <f t="shared" si="0"/>
        <v>14</v>
      </c>
      <c r="B17" s="6" t="s">
        <v>50</v>
      </c>
      <c r="C17" s="6" t="s">
        <v>51</v>
      </c>
      <c r="E17" s="6">
        <v>14</v>
      </c>
      <c r="F17" s="6" t="s">
        <v>171</v>
      </c>
      <c r="G17" s="6" t="s">
        <v>114</v>
      </c>
      <c r="I17" s="6">
        <v>14</v>
      </c>
      <c r="J17" s="6" t="s">
        <v>91</v>
      </c>
      <c r="L17" s="6">
        <f t="shared" si="2"/>
        <v>14</v>
      </c>
      <c r="M17" s="6" t="s">
        <v>153</v>
      </c>
      <c r="N17" s="11">
        <v>6343015</v>
      </c>
      <c r="O17" s="11" t="s">
        <v>154</v>
      </c>
    </row>
    <row r="18" spans="1:15" x14ac:dyDescent="0.35">
      <c r="A18" s="6">
        <f t="shared" si="0"/>
        <v>15</v>
      </c>
      <c r="B18" s="6" t="s">
        <v>61</v>
      </c>
      <c r="C18" s="6" t="s">
        <v>134</v>
      </c>
      <c r="E18" s="6">
        <v>15</v>
      </c>
      <c r="F18" s="6" t="s">
        <v>179</v>
      </c>
      <c r="G18" s="6" t="s">
        <v>114</v>
      </c>
      <c r="I18" s="6">
        <v>15</v>
      </c>
      <c r="J18" s="6" t="s">
        <v>92</v>
      </c>
      <c r="L18" s="6">
        <f t="shared" si="2"/>
        <v>15</v>
      </c>
      <c r="M18" s="6" t="s">
        <v>157</v>
      </c>
      <c r="N18" s="11">
        <v>6343002</v>
      </c>
      <c r="O18" s="11" t="s">
        <v>158</v>
      </c>
    </row>
    <row r="19" spans="1:15" x14ac:dyDescent="0.35">
      <c r="A19" s="6">
        <f t="shared" si="0"/>
        <v>16</v>
      </c>
      <c r="B19" s="6" t="s">
        <v>62</v>
      </c>
      <c r="C19" s="6" t="s">
        <v>44</v>
      </c>
      <c r="E19" s="6">
        <v>16</v>
      </c>
      <c r="F19" s="6"/>
      <c r="G19" s="6"/>
      <c r="I19" s="6">
        <v>16</v>
      </c>
      <c r="J19" s="6" t="s">
        <v>93</v>
      </c>
      <c r="L19" s="6">
        <f t="shared" si="2"/>
        <v>16</v>
      </c>
      <c r="M19" s="6" t="s">
        <v>164</v>
      </c>
      <c r="N19" s="11">
        <v>6343015</v>
      </c>
      <c r="O19" s="11"/>
    </row>
    <row r="20" spans="1:15" x14ac:dyDescent="0.35">
      <c r="A20" s="6">
        <f t="shared" si="0"/>
        <v>17</v>
      </c>
      <c r="B20" s="6" t="s">
        <v>64</v>
      </c>
      <c r="C20" s="6" t="s">
        <v>44</v>
      </c>
      <c r="E20" s="6">
        <v>17</v>
      </c>
      <c r="F20" s="6"/>
      <c r="G20" s="6"/>
      <c r="I20" s="6">
        <v>17</v>
      </c>
      <c r="J20" s="6" t="s">
        <v>94</v>
      </c>
      <c r="L20" s="6">
        <f t="shared" si="2"/>
        <v>17</v>
      </c>
      <c r="N20" s="11">
        <v>6343015</v>
      </c>
      <c r="O20" s="11" t="s">
        <v>165</v>
      </c>
    </row>
    <row r="21" spans="1:15" x14ac:dyDescent="0.35">
      <c r="A21" s="6">
        <f t="shared" si="0"/>
        <v>18</v>
      </c>
      <c r="B21" s="6" t="s">
        <v>65</v>
      </c>
      <c r="C21" s="6" t="s">
        <v>48</v>
      </c>
      <c r="E21" s="6">
        <v>18</v>
      </c>
      <c r="F21" s="6"/>
      <c r="G21" s="6"/>
      <c r="I21" s="6">
        <v>18</v>
      </c>
      <c r="J21" s="6" t="s">
        <v>95</v>
      </c>
      <c r="L21" s="6">
        <f t="shared" si="2"/>
        <v>18</v>
      </c>
      <c r="M21" s="6" t="s">
        <v>168</v>
      </c>
      <c r="N21" s="11">
        <v>6343002</v>
      </c>
      <c r="O21" s="11" t="s">
        <v>158</v>
      </c>
    </row>
    <row r="22" spans="1:15" x14ac:dyDescent="0.35">
      <c r="A22" s="6">
        <f t="shared" si="0"/>
        <v>19</v>
      </c>
      <c r="B22" s="6" t="s">
        <v>67</v>
      </c>
      <c r="C22" s="6" t="s">
        <v>48</v>
      </c>
      <c r="E22" s="6">
        <v>19</v>
      </c>
      <c r="F22" s="6"/>
      <c r="G22" s="6"/>
      <c r="I22" s="6">
        <v>19</v>
      </c>
      <c r="J22" s="6" t="s">
        <v>96</v>
      </c>
      <c r="L22" s="6">
        <f t="shared" si="2"/>
        <v>19</v>
      </c>
      <c r="M22" s="6" t="s">
        <v>170</v>
      </c>
      <c r="N22" s="11">
        <v>6343015</v>
      </c>
      <c r="O22" s="11"/>
    </row>
    <row r="23" spans="1:15" x14ac:dyDescent="0.35">
      <c r="A23" s="6">
        <f t="shared" si="0"/>
        <v>20</v>
      </c>
      <c r="B23" s="6" t="s">
        <v>68</v>
      </c>
      <c r="C23" s="6" t="s">
        <v>33</v>
      </c>
      <c r="E23" s="6">
        <v>20</v>
      </c>
      <c r="F23" s="6"/>
      <c r="G23" s="6"/>
      <c r="I23" s="6">
        <v>20</v>
      </c>
      <c r="J23" s="6" t="s">
        <v>98</v>
      </c>
      <c r="L23" s="6">
        <f t="shared" si="2"/>
        <v>20</v>
      </c>
      <c r="M23" s="6"/>
      <c r="N23" s="11"/>
      <c r="O23" s="11"/>
    </row>
    <row r="24" spans="1:15" x14ac:dyDescent="0.35">
      <c r="A24" s="6">
        <f t="shared" si="0"/>
        <v>21</v>
      </c>
      <c r="B24" s="6" t="s">
        <v>70</v>
      </c>
      <c r="C24" s="6" t="s">
        <v>71</v>
      </c>
      <c r="E24" s="6">
        <v>21</v>
      </c>
      <c r="F24" s="6"/>
      <c r="G24" s="6"/>
      <c r="I24" s="6">
        <v>21</v>
      </c>
      <c r="J24" s="6" t="s">
        <v>99</v>
      </c>
      <c r="L24" s="6">
        <f t="shared" si="2"/>
        <v>21</v>
      </c>
      <c r="M24" s="6"/>
      <c r="N24" s="11"/>
      <c r="O24" s="11"/>
    </row>
    <row r="25" spans="1:15" x14ac:dyDescent="0.35">
      <c r="A25" s="6">
        <f t="shared" si="0"/>
        <v>22</v>
      </c>
      <c r="B25" s="6" t="s">
        <v>72</v>
      </c>
      <c r="C25" s="6" t="s">
        <v>73</v>
      </c>
      <c r="E25" s="6">
        <v>22</v>
      </c>
      <c r="F25" s="6"/>
      <c r="G25" s="6"/>
      <c r="I25" s="6">
        <v>22</v>
      </c>
      <c r="J25" s="6" t="s">
        <v>100</v>
      </c>
      <c r="L25" s="6">
        <f t="shared" si="2"/>
        <v>22</v>
      </c>
      <c r="M25" s="6"/>
      <c r="N25" s="11"/>
      <c r="O25" s="11"/>
    </row>
    <row r="26" spans="1:15" x14ac:dyDescent="0.35">
      <c r="A26" s="6">
        <f t="shared" si="0"/>
        <v>23</v>
      </c>
      <c r="B26" s="6" t="s">
        <v>79</v>
      </c>
      <c r="C26" s="6" t="s">
        <v>33</v>
      </c>
      <c r="E26" s="6">
        <v>23</v>
      </c>
      <c r="F26" s="6"/>
      <c r="G26" s="6"/>
      <c r="I26" s="6">
        <v>23</v>
      </c>
      <c r="J26" s="6" t="s">
        <v>101</v>
      </c>
      <c r="L26" s="6">
        <f t="shared" si="2"/>
        <v>23</v>
      </c>
      <c r="M26" s="6"/>
      <c r="N26" s="11"/>
      <c r="O26" s="11"/>
    </row>
    <row r="27" spans="1:15" x14ac:dyDescent="0.35">
      <c r="A27" s="6">
        <f t="shared" si="0"/>
        <v>24</v>
      </c>
      <c r="B27" s="6" t="s">
        <v>97</v>
      </c>
      <c r="C27" s="6" t="s">
        <v>71</v>
      </c>
      <c r="E27" s="6">
        <v>24</v>
      </c>
      <c r="F27" s="6"/>
      <c r="G27" s="6"/>
      <c r="I27" s="6">
        <v>24</v>
      </c>
      <c r="J27" s="6" t="s">
        <v>102</v>
      </c>
      <c r="L27" s="6">
        <f t="shared" si="2"/>
        <v>24</v>
      </c>
      <c r="M27" s="6"/>
      <c r="N27" s="6"/>
      <c r="O27" s="6"/>
    </row>
    <row r="28" spans="1:15" x14ac:dyDescent="0.35">
      <c r="A28" s="6">
        <f t="shared" si="0"/>
        <v>25</v>
      </c>
      <c r="B28" s="6"/>
      <c r="C28" s="6"/>
      <c r="E28" s="6">
        <v>25</v>
      </c>
      <c r="F28" s="6"/>
      <c r="G28" s="6"/>
      <c r="I28" s="6"/>
      <c r="J28" s="6" t="s">
        <v>103</v>
      </c>
      <c r="L28" s="6"/>
      <c r="M28" s="6"/>
      <c r="N28" s="6"/>
      <c r="O28" s="6"/>
    </row>
    <row r="29" spans="1:15" x14ac:dyDescent="0.35">
      <c r="A29" s="6">
        <f t="shared" si="0"/>
        <v>26</v>
      </c>
      <c r="B29" s="6"/>
      <c r="C29" s="6"/>
      <c r="E29" s="6">
        <v>26</v>
      </c>
      <c r="F29" s="6"/>
      <c r="G29" s="6"/>
      <c r="I29" s="6">
        <v>25</v>
      </c>
      <c r="J29" s="6" t="s">
        <v>105</v>
      </c>
      <c r="L29" s="6">
        <f>+L27+1</f>
        <v>25</v>
      </c>
      <c r="M29" s="6"/>
      <c r="N29" s="11"/>
      <c r="O29" s="11"/>
    </row>
    <row r="30" spans="1:15" x14ac:dyDescent="0.35">
      <c r="A30" s="6">
        <f t="shared" si="0"/>
        <v>27</v>
      </c>
      <c r="B30" s="6"/>
      <c r="C30" s="6"/>
      <c r="E30" s="6">
        <v>27</v>
      </c>
      <c r="F30" s="6"/>
      <c r="G30" s="6"/>
      <c r="I30" s="6">
        <v>26</v>
      </c>
      <c r="J30" s="6" t="s">
        <v>106</v>
      </c>
      <c r="L30" s="6">
        <f t="shared" si="2"/>
        <v>26</v>
      </c>
      <c r="M30" s="6"/>
      <c r="N30" s="11"/>
      <c r="O30" s="11"/>
    </row>
    <row r="31" spans="1:15" x14ac:dyDescent="0.35">
      <c r="A31" s="6">
        <f t="shared" si="0"/>
        <v>28</v>
      </c>
      <c r="B31" s="6"/>
      <c r="C31" s="6"/>
      <c r="E31" s="6">
        <v>28</v>
      </c>
      <c r="F31" s="6"/>
      <c r="G31" s="6"/>
      <c r="I31" s="6">
        <v>27</v>
      </c>
      <c r="J31" s="6" t="s">
        <v>107</v>
      </c>
      <c r="L31" s="6">
        <f t="shared" si="2"/>
        <v>27</v>
      </c>
      <c r="M31" s="6"/>
      <c r="N31" s="11"/>
      <c r="O31" s="11"/>
    </row>
    <row r="32" spans="1:15" x14ac:dyDescent="0.35">
      <c r="A32" s="6">
        <f t="shared" si="0"/>
        <v>29</v>
      </c>
      <c r="B32" s="6"/>
      <c r="C32" s="6"/>
      <c r="E32" s="6">
        <v>29</v>
      </c>
      <c r="F32" s="6"/>
      <c r="G32" s="6"/>
      <c r="I32" s="6">
        <v>28</v>
      </c>
      <c r="J32" s="6" t="s">
        <v>108</v>
      </c>
      <c r="L32" s="6">
        <f t="shared" si="2"/>
        <v>28</v>
      </c>
      <c r="M32" s="14"/>
      <c r="N32" s="11"/>
      <c r="O32" s="11"/>
    </row>
    <row r="33" spans="1:15" x14ac:dyDescent="0.35">
      <c r="A33" s="6">
        <f t="shared" si="0"/>
        <v>30</v>
      </c>
      <c r="B33" s="6"/>
      <c r="C33" s="6"/>
      <c r="E33" s="6">
        <v>30</v>
      </c>
      <c r="F33" s="6"/>
      <c r="G33" s="6"/>
      <c r="I33" s="6">
        <v>29</v>
      </c>
      <c r="J33" s="6" t="s">
        <v>109</v>
      </c>
      <c r="L33" s="6">
        <f t="shared" si="2"/>
        <v>29</v>
      </c>
      <c r="M33" s="6"/>
      <c r="N33" s="11"/>
      <c r="O33" s="11"/>
    </row>
    <row r="34" spans="1:15" x14ac:dyDescent="0.35">
      <c r="A34" s="6">
        <f t="shared" si="0"/>
        <v>31</v>
      </c>
      <c r="B34" s="6"/>
      <c r="C34" s="6"/>
      <c r="E34" s="6">
        <v>31</v>
      </c>
      <c r="F34" s="6"/>
      <c r="G34" s="6"/>
      <c r="I34" s="6">
        <v>30</v>
      </c>
      <c r="J34" s="6" t="s">
        <v>110</v>
      </c>
      <c r="L34" s="6">
        <f t="shared" si="2"/>
        <v>30</v>
      </c>
      <c r="M34" s="6"/>
      <c r="N34" s="11"/>
      <c r="O34" s="11"/>
    </row>
    <row r="35" spans="1:15" x14ac:dyDescent="0.35">
      <c r="A35" s="6">
        <f t="shared" si="0"/>
        <v>32</v>
      </c>
      <c r="B35" s="6"/>
      <c r="C35" s="6"/>
      <c r="E35" s="6">
        <v>32</v>
      </c>
      <c r="F35" s="6"/>
      <c r="G35" s="6"/>
      <c r="I35" s="6">
        <v>31</v>
      </c>
      <c r="J35" s="6" t="s">
        <v>111</v>
      </c>
      <c r="L35" s="6">
        <f t="shared" si="2"/>
        <v>31</v>
      </c>
      <c r="M35" s="6"/>
      <c r="N35" s="11"/>
      <c r="O35" s="11"/>
    </row>
    <row r="36" spans="1:15" x14ac:dyDescent="0.35">
      <c r="A36" s="6">
        <f t="shared" si="0"/>
        <v>33</v>
      </c>
      <c r="B36" s="6"/>
      <c r="C36" s="6"/>
      <c r="E36" s="6">
        <v>33</v>
      </c>
      <c r="F36" s="6"/>
      <c r="G36" s="6"/>
      <c r="I36" s="6">
        <v>32</v>
      </c>
      <c r="J36" s="6" t="s">
        <v>112</v>
      </c>
      <c r="L36" s="6">
        <f t="shared" si="2"/>
        <v>32</v>
      </c>
      <c r="M36" s="6"/>
      <c r="N36" s="11"/>
      <c r="O36" s="11"/>
    </row>
    <row r="37" spans="1:15" x14ac:dyDescent="0.35">
      <c r="A37" s="6">
        <f t="shared" si="0"/>
        <v>34</v>
      </c>
      <c r="B37" s="6"/>
      <c r="C37" s="6"/>
      <c r="E37" s="6">
        <v>34</v>
      </c>
      <c r="F37" s="6"/>
      <c r="G37" s="6"/>
      <c r="I37" s="6">
        <v>33</v>
      </c>
      <c r="J37" s="6" t="s">
        <v>116</v>
      </c>
      <c r="L37" s="6">
        <f t="shared" si="2"/>
        <v>33</v>
      </c>
      <c r="M37" s="6"/>
      <c r="N37" s="6"/>
      <c r="O37" s="6"/>
    </row>
    <row r="38" spans="1:15" x14ac:dyDescent="0.35">
      <c r="A38" s="6">
        <f t="shared" si="0"/>
        <v>35</v>
      </c>
      <c r="B38" s="6"/>
      <c r="C38" s="6"/>
      <c r="E38" s="6">
        <v>35</v>
      </c>
      <c r="F38" s="6"/>
      <c r="G38" s="6"/>
      <c r="I38" s="6">
        <v>34</v>
      </c>
      <c r="J38" s="6" t="s">
        <v>120</v>
      </c>
      <c r="L38" s="6">
        <f t="shared" si="2"/>
        <v>34</v>
      </c>
      <c r="M38" s="6"/>
      <c r="N38" s="6"/>
      <c r="O38" s="6"/>
    </row>
    <row r="39" spans="1:15" x14ac:dyDescent="0.35">
      <c r="A39" s="6">
        <f t="shared" si="0"/>
        <v>36</v>
      </c>
      <c r="B39" s="6"/>
      <c r="C39" s="6"/>
      <c r="E39" s="6">
        <v>35</v>
      </c>
      <c r="F39" s="6"/>
      <c r="G39" s="6"/>
      <c r="I39" s="6">
        <v>35</v>
      </c>
      <c r="J39" s="6" t="s">
        <v>121</v>
      </c>
      <c r="L39" s="6">
        <f t="shared" si="2"/>
        <v>35</v>
      </c>
      <c r="M39" s="6"/>
      <c r="N39" s="6"/>
      <c r="O39" s="6"/>
    </row>
    <row r="40" spans="1:15" x14ac:dyDescent="0.35">
      <c r="A40" s="6">
        <f t="shared" si="0"/>
        <v>37</v>
      </c>
      <c r="B40" s="6"/>
      <c r="C40" s="6"/>
      <c r="E40" s="6">
        <v>35</v>
      </c>
      <c r="F40" s="6"/>
      <c r="G40" s="6"/>
      <c r="I40" s="6">
        <v>36</v>
      </c>
      <c r="J40" s="6" t="s">
        <v>122</v>
      </c>
      <c r="L40" s="6">
        <f t="shared" si="2"/>
        <v>36</v>
      </c>
      <c r="M40" s="6"/>
      <c r="N40" s="6"/>
      <c r="O40" s="6"/>
    </row>
    <row r="41" spans="1:15" x14ac:dyDescent="0.35">
      <c r="A41" s="6">
        <f t="shared" si="0"/>
        <v>38</v>
      </c>
      <c r="B41" s="6"/>
      <c r="C41" s="6"/>
      <c r="F41" s="6"/>
      <c r="G41" s="6"/>
      <c r="I41" s="6">
        <v>37</v>
      </c>
      <c r="J41" s="6" t="s">
        <v>123</v>
      </c>
      <c r="L41" s="6">
        <f t="shared" si="2"/>
        <v>37</v>
      </c>
      <c r="M41" s="6"/>
      <c r="N41" s="6"/>
      <c r="O41" s="6"/>
    </row>
    <row r="42" spans="1:15" x14ac:dyDescent="0.35">
      <c r="B42" s="6"/>
      <c r="C42" s="6"/>
      <c r="F42" s="6"/>
      <c r="G42" s="6"/>
      <c r="I42" s="6">
        <v>38</v>
      </c>
      <c r="J42" s="6" t="s">
        <v>126</v>
      </c>
      <c r="L42" s="6">
        <f t="shared" si="2"/>
        <v>38</v>
      </c>
      <c r="M42" s="6"/>
      <c r="N42" s="6"/>
      <c r="O42" s="6"/>
    </row>
    <row r="43" spans="1:15" x14ac:dyDescent="0.35">
      <c r="B43" s="6"/>
      <c r="C43" s="6"/>
      <c r="F43" s="6"/>
      <c r="G43" s="6"/>
      <c r="I43" s="6">
        <v>39</v>
      </c>
      <c r="J43" s="6" t="s">
        <v>127</v>
      </c>
      <c r="L43" s="6">
        <f t="shared" si="2"/>
        <v>39</v>
      </c>
      <c r="M43" s="6"/>
      <c r="N43" s="6"/>
      <c r="O43" s="6"/>
    </row>
    <row r="44" spans="1:15" x14ac:dyDescent="0.35">
      <c r="B44" s="6"/>
      <c r="C44" s="6"/>
      <c r="F44" s="6"/>
      <c r="G44" s="6"/>
      <c r="I44" s="6">
        <v>40</v>
      </c>
      <c r="J44" s="6" t="s">
        <v>142</v>
      </c>
      <c r="L44" s="6">
        <f t="shared" si="2"/>
        <v>40</v>
      </c>
      <c r="M44" s="6"/>
      <c r="N44" s="6"/>
      <c r="O44" s="6"/>
    </row>
    <row r="45" spans="1:15" x14ac:dyDescent="0.35">
      <c r="B45" s="6"/>
      <c r="C45" s="6"/>
      <c r="F45" s="6"/>
      <c r="G45" s="6"/>
      <c r="I45" s="6">
        <v>41</v>
      </c>
      <c r="J45" s="6" t="s">
        <v>136</v>
      </c>
      <c r="L45" s="6">
        <f t="shared" si="2"/>
        <v>41</v>
      </c>
      <c r="M45" s="6"/>
      <c r="N45" s="6"/>
      <c r="O45" s="6"/>
    </row>
    <row r="46" spans="1:15" x14ac:dyDescent="0.35">
      <c r="B46" s="6"/>
      <c r="C46" s="6"/>
      <c r="F46" s="6"/>
      <c r="G46" s="6"/>
      <c r="I46" s="6">
        <v>42</v>
      </c>
      <c r="J46" s="6" t="s">
        <v>137</v>
      </c>
      <c r="L46" s="6">
        <f t="shared" si="2"/>
        <v>42</v>
      </c>
      <c r="M46" s="6"/>
      <c r="N46" s="6"/>
      <c r="O46" s="6"/>
    </row>
    <row r="47" spans="1:15" x14ac:dyDescent="0.35">
      <c r="B47" s="6"/>
      <c r="C47" s="6"/>
      <c r="F47" s="6"/>
      <c r="G47" s="6"/>
      <c r="I47" s="6">
        <v>43</v>
      </c>
      <c r="J47" s="6" t="s">
        <v>138</v>
      </c>
      <c r="L47" s="6">
        <f t="shared" si="2"/>
        <v>43</v>
      </c>
      <c r="M47" s="6"/>
      <c r="N47" s="6"/>
      <c r="O47" s="6"/>
    </row>
    <row r="48" spans="1:15" x14ac:dyDescent="0.35">
      <c r="F48" s="6"/>
      <c r="G48" s="6"/>
      <c r="I48" s="6">
        <v>44</v>
      </c>
      <c r="J48" s="6" t="s">
        <v>139</v>
      </c>
      <c r="L48" s="6">
        <f t="shared" si="2"/>
        <v>44</v>
      </c>
      <c r="M48" s="6"/>
      <c r="N48" s="6"/>
      <c r="O48" s="6"/>
    </row>
    <row r="49" spans="6:15" x14ac:dyDescent="0.35">
      <c r="F49" s="6"/>
      <c r="G49" s="6"/>
      <c r="I49" s="6">
        <v>45</v>
      </c>
      <c r="J49" s="6" t="s">
        <v>140</v>
      </c>
      <c r="L49" s="6">
        <f t="shared" si="2"/>
        <v>45</v>
      </c>
      <c r="M49" s="6"/>
      <c r="N49" s="6"/>
      <c r="O49" s="6"/>
    </row>
    <row r="50" spans="6:15" x14ac:dyDescent="0.35">
      <c r="F50" s="6"/>
      <c r="G50" s="6"/>
      <c r="I50" s="6">
        <v>46</v>
      </c>
      <c r="J50" s="6" t="s">
        <v>141</v>
      </c>
      <c r="L50" s="6">
        <f t="shared" si="2"/>
        <v>46</v>
      </c>
      <c r="M50" s="6"/>
      <c r="N50" s="6"/>
      <c r="O50" s="6"/>
    </row>
    <row r="51" spans="6:15" x14ac:dyDescent="0.35">
      <c r="F51" s="6"/>
      <c r="G51" s="6"/>
      <c r="I51" s="6">
        <v>47</v>
      </c>
      <c r="J51" s="6" t="s">
        <v>143</v>
      </c>
      <c r="L51" s="6">
        <f t="shared" si="2"/>
        <v>47</v>
      </c>
      <c r="M51" s="6"/>
      <c r="N51" s="6"/>
      <c r="O51" s="6"/>
    </row>
    <row r="52" spans="6:15" x14ac:dyDescent="0.35">
      <c r="F52" s="6"/>
      <c r="G52" s="6"/>
      <c r="I52" s="6">
        <v>48</v>
      </c>
      <c r="J52" s="6" t="s">
        <v>144</v>
      </c>
      <c r="L52" s="6">
        <f t="shared" si="2"/>
        <v>48</v>
      </c>
      <c r="M52" s="6"/>
      <c r="N52" s="6"/>
      <c r="O52" s="6"/>
    </row>
    <row r="53" spans="6:15" x14ac:dyDescent="0.35">
      <c r="F53" s="6"/>
      <c r="G53" s="6"/>
      <c r="I53" s="6">
        <v>49</v>
      </c>
      <c r="J53" s="6" t="s">
        <v>145</v>
      </c>
      <c r="L53" s="6">
        <f t="shared" si="2"/>
        <v>49</v>
      </c>
      <c r="M53" s="6"/>
      <c r="N53" s="6"/>
      <c r="O53" s="6"/>
    </row>
    <row r="54" spans="6:15" x14ac:dyDescent="0.35">
      <c r="F54" s="6"/>
      <c r="G54" s="6"/>
      <c r="I54" s="6">
        <v>50</v>
      </c>
      <c r="J54" s="6" t="s">
        <v>148</v>
      </c>
      <c r="L54" s="6">
        <f t="shared" si="2"/>
        <v>50</v>
      </c>
      <c r="M54" s="6"/>
      <c r="N54" s="6"/>
      <c r="O54" s="6"/>
    </row>
    <row r="55" spans="6:15" x14ac:dyDescent="0.35">
      <c r="F55" s="6"/>
      <c r="G55" s="6"/>
      <c r="I55" s="6">
        <v>51</v>
      </c>
      <c r="J55" s="6" t="s">
        <v>123</v>
      </c>
    </row>
    <row r="56" spans="6:15" x14ac:dyDescent="0.35">
      <c r="F56" s="6"/>
      <c r="G56" s="6"/>
      <c r="I56" s="6">
        <v>52</v>
      </c>
      <c r="J56" s="6" t="s">
        <v>156</v>
      </c>
    </row>
    <row r="57" spans="6:15" x14ac:dyDescent="0.35">
      <c r="F57" s="6"/>
      <c r="G57" s="6"/>
      <c r="I57" s="6">
        <v>53</v>
      </c>
      <c r="J57" s="6" t="s">
        <v>162</v>
      </c>
    </row>
    <row r="58" spans="6:15" x14ac:dyDescent="0.35">
      <c r="I58" s="6">
        <v>54</v>
      </c>
      <c r="J58" s="6" t="s">
        <v>167</v>
      </c>
    </row>
    <row r="59" spans="6:15" x14ac:dyDescent="0.35">
      <c r="I59" s="6">
        <v>55</v>
      </c>
      <c r="J59" s="6" t="s">
        <v>172</v>
      </c>
    </row>
    <row r="60" spans="6:15" x14ac:dyDescent="0.35">
      <c r="I60" s="6">
        <v>56</v>
      </c>
      <c r="J60" s="6" t="s">
        <v>173</v>
      </c>
    </row>
    <row r="61" spans="6:15" x14ac:dyDescent="0.35">
      <c r="I61" s="6">
        <v>57</v>
      </c>
      <c r="J61" s="6" t="s">
        <v>174</v>
      </c>
    </row>
    <row r="62" spans="6:15" x14ac:dyDescent="0.35">
      <c r="I62" s="6">
        <v>58</v>
      </c>
      <c r="J62" s="6" t="s">
        <v>175</v>
      </c>
    </row>
    <row r="63" spans="6:15" x14ac:dyDescent="0.35">
      <c r="I63" s="6">
        <v>59</v>
      </c>
      <c r="J63" s="6" t="s">
        <v>176</v>
      </c>
    </row>
    <row r="64" spans="6:15" x14ac:dyDescent="0.35">
      <c r="I64" s="6">
        <v>60</v>
      </c>
      <c r="J64" s="6" t="s">
        <v>177</v>
      </c>
    </row>
    <row r="65" spans="9:10" x14ac:dyDescent="0.35">
      <c r="I65" s="6">
        <v>61</v>
      </c>
      <c r="J65" s="6" t="s">
        <v>178</v>
      </c>
    </row>
    <row r="66" spans="9:10" x14ac:dyDescent="0.35">
      <c r="I66" s="6">
        <v>62</v>
      </c>
      <c r="J66" s="6" t="s">
        <v>180</v>
      </c>
    </row>
    <row r="67" spans="9:10" x14ac:dyDescent="0.35">
      <c r="I67" s="6">
        <v>63</v>
      </c>
      <c r="J67" s="6"/>
    </row>
    <row r="68" spans="9:10" x14ac:dyDescent="0.35">
      <c r="I68" s="6">
        <v>64</v>
      </c>
      <c r="J68" s="6"/>
    </row>
    <row r="69" spans="9:10" x14ac:dyDescent="0.35">
      <c r="I69" s="6">
        <v>65</v>
      </c>
      <c r="J69" s="6"/>
    </row>
    <row r="70" spans="9:10" x14ac:dyDescent="0.35">
      <c r="I70" s="6">
        <v>66</v>
      </c>
      <c r="J70" s="6"/>
    </row>
    <row r="71" spans="9:10" x14ac:dyDescent="0.35">
      <c r="I71" s="6">
        <v>67</v>
      </c>
      <c r="J71" s="6"/>
    </row>
    <row r="72" spans="9:10" x14ac:dyDescent="0.35">
      <c r="I72" s="6">
        <v>68</v>
      </c>
      <c r="J72" s="6"/>
    </row>
    <row r="73" spans="9:10" x14ac:dyDescent="0.35">
      <c r="I73" s="6">
        <v>69</v>
      </c>
      <c r="J73" s="6"/>
    </row>
    <row r="74" spans="9:10" x14ac:dyDescent="0.35">
      <c r="I74" s="6">
        <v>70</v>
      </c>
      <c r="J74" s="6"/>
    </row>
    <row r="75" spans="9:10" x14ac:dyDescent="0.35">
      <c r="I75" s="6">
        <v>71</v>
      </c>
      <c r="J75" s="6"/>
    </row>
    <row r="76" spans="9:10" x14ac:dyDescent="0.35">
      <c r="I76" s="6">
        <v>72</v>
      </c>
      <c r="J76" s="6"/>
    </row>
    <row r="77" spans="9:10" x14ac:dyDescent="0.35">
      <c r="I77" s="6">
        <v>73</v>
      </c>
      <c r="J77" s="6"/>
    </row>
    <row r="78" spans="9:10" x14ac:dyDescent="0.35">
      <c r="I78" s="6">
        <v>74</v>
      </c>
      <c r="J78" s="6"/>
    </row>
    <row r="79" spans="9:10" x14ac:dyDescent="0.35">
      <c r="I79" s="6">
        <v>75</v>
      </c>
      <c r="J79" s="6"/>
    </row>
    <row r="80" spans="9:10" x14ac:dyDescent="0.35">
      <c r="I80" s="6">
        <v>76</v>
      </c>
      <c r="J80" s="6"/>
    </row>
    <row r="81" spans="9:10" x14ac:dyDescent="0.35">
      <c r="I81" s="6">
        <v>77</v>
      </c>
      <c r="J81" s="6"/>
    </row>
    <row r="82" spans="9:10" x14ac:dyDescent="0.35">
      <c r="I82" s="6">
        <v>78</v>
      </c>
      <c r="J82" s="6"/>
    </row>
    <row r="83" spans="9:10" x14ac:dyDescent="0.35">
      <c r="I83" s="6">
        <v>79</v>
      </c>
      <c r="J83" s="6"/>
    </row>
    <row r="84" spans="9:10" x14ac:dyDescent="0.35">
      <c r="I84" s="6">
        <v>80</v>
      </c>
      <c r="J84" s="6"/>
    </row>
    <row r="85" spans="9:10" x14ac:dyDescent="0.35">
      <c r="I85" s="6">
        <v>81</v>
      </c>
      <c r="J85" s="6"/>
    </row>
    <row r="86" spans="9:10" x14ac:dyDescent="0.35">
      <c r="I86" s="6">
        <v>82</v>
      </c>
      <c r="J86" s="6"/>
    </row>
    <row r="87" spans="9:10" x14ac:dyDescent="0.35">
      <c r="I87" s="6">
        <v>83</v>
      </c>
      <c r="J87" s="6"/>
    </row>
    <row r="88" spans="9:10" x14ac:dyDescent="0.35">
      <c r="I88" s="6">
        <v>84</v>
      </c>
      <c r="J88" s="6"/>
    </row>
    <row r="89" spans="9:10" x14ac:dyDescent="0.35">
      <c r="I89" s="6">
        <v>85</v>
      </c>
      <c r="J89" s="6"/>
    </row>
    <row r="90" spans="9:10" x14ac:dyDescent="0.35">
      <c r="I90" s="6">
        <v>86</v>
      </c>
      <c r="J90" s="6"/>
    </row>
    <row r="91" spans="9:10" x14ac:dyDescent="0.35">
      <c r="I91" s="6">
        <v>87</v>
      </c>
      <c r="J91" s="6"/>
    </row>
    <row r="92" spans="9:10" x14ac:dyDescent="0.35">
      <c r="I92" s="6">
        <v>88</v>
      </c>
      <c r="J92" s="6"/>
    </row>
    <row r="93" spans="9:10" x14ac:dyDescent="0.35">
      <c r="I93" s="6">
        <v>89</v>
      </c>
      <c r="J93" s="6"/>
    </row>
    <row r="94" spans="9:10" x14ac:dyDescent="0.35">
      <c r="I94" s="6">
        <v>90</v>
      </c>
      <c r="J94" s="6"/>
    </row>
    <row r="95" spans="9:10" x14ac:dyDescent="0.35">
      <c r="I95" s="6">
        <v>91</v>
      </c>
      <c r="J95" s="6"/>
    </row>
    <row r="96" spans="9:10" x14ac:dyDescent="0.35">
      <c r="I96" s="6">
        <v>92</v>
      </c>
      <c r="J96" s="6"/>
    </row>
    <row r="97" spans="9:10" x14ac:dyDescent="0.35">
      <c r="I97" s="6">
        <v>93</v>
      </c>
      <c r="J97" s="6"/>
    </row>
    <row r="98" spans="9:10" x14ac:dyDescent="0.35">
      <c r="I98" s="6">
        <v>94</v>
      </c>
      <c r="J98" s="6"/>
    </row>
    <row r="99" spans="9:10" x14ac:dyDescent="0.35">
      <c r="I99" s="6">
        <v>95</v>
      </c>
      <c r="J99" s="6"/>
    </row>
    <row r="100" spans="9:10" x14ac:dyDescent="0.35">
      <c r="I100" s="6">
        <v>96</v>
      </c>
      <c r="J100" s="6"/>
    </row>
    <row r="101" spans="9:10" x14ac:dyDescent="0.35">
      <c r="I101" s="6">
        <v>97</v>
      </c>
      <c r="J101" s="6"/>
    </row>
    <row r="102" spans="9:10" x14ac:dyDescent="0.35">
      <c r="I102" s="6">
        <v>98</v>
      </c>
      <c r="J102" s="6"/>
    </row>
    <row r="103" spans="9:10" x14ac:dyDescent="0.35">
      <c r="I103" s="6">
        <v>99</v>
      </c>
      <c r="J103" s="6"/>
    </row>
    <row r="104" spans="9:10" x14ac:dyDescent="0.35">
      <c r="I104" s="6">
        <v>100</v>
      </c>
      <c r="J104" s="6"/>
    </row>
  </sheetData>
  <sortState xmlns:xlrd2="http://schemas.microsoft.com/office/spreadsheetml/2017/richdata2" ref="J4:J17">
    <sortCondition ref="J4"/>
  </sortState>
  <phoneticPr fontId="7" type="noConversion"/>
  <pageMargins left="0.7" right="0.7" top="0.75" bottom="0.75" header="0.3" footer="0.3"/>
  <pageSetup orientation="portrait" r:id="rId1"/>
  <headerFooter>
    <oddFooter>&amp;C&amp;1#&amp;"Calibri"&amp;11&amp;K000000BV_C2_Internal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8.Feb</vt:lpstr>
      <vt:lpstr>9.Feb</vt:lpstr>
      <vt:lpstr>01 Marzo</vt:lpstr>
      <vt:lpstr>Data</vt:lpstr>
      <vt:lpstr>'01 Marzo'!Área_de_impresión</vt:lpstr>
      <vt:lpstr>'8.Feb'!Área_de_impresión</vt:lpstr>
      <vt:lpstr>'9.Feb'!Área_de_impresión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SUAREZ Wilder</dc:creator>
  <cp:lastModifiedBy>DANIEL CEDANO</cp:lastModifiedBy>
  <cp:lastPrinted>2026-04-04T02:47:47Z</cp:lastPrinted>
  <dcterms:created xsi:type="dcterms:W3CDTF">2017-12-18T16:12:10Z</dcterms:created>
  <dcterms:modified xsi:type="dcterms:W3CDTF">2026-04-04T02:52:10Z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2023-03-08T23:54:29Z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2e44b24d-3563-47e3-a64a-5530224a5556</vt:lpwstr>
  </property>
  <property fmtid="{D5CDD505-2E9C-101B-9397-08002B2CF9AE}" pid="8" name="MSIP_Label_c80bb4b1-c353-4a8c-aa94-59f555332b5a_ContentBits">
    <vt:lpwstr>2</vt:lpwstr>
  </property>
</Properties>
</file>